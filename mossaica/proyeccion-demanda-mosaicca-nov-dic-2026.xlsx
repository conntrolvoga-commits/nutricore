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Mercado" sheetId="3" state="visible" r:id="rId5"/>
    <sheet name="Demanda" sheetId="4" state="visible" r:id="rId6"/>
    <sheet name="Producción" sheetId="5" state="visible" r:id="rId7"/>
    <sheet name="Fuen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<sst xmlns="http://schemas.openxmlformats.org/spreadsheetml/2006/main" count="307" uniqueCount="207">
  <si>
    <t xml:space="preserve">Mosaicca · Proyección de demanda, noviembre y diciembre de 2026</t>
  </si>
  <si>
    <t xml:space="preserve">Estimación por escenarios con supuestos editables. No hay historial de ventas en el proyecto: calibra la hoja Supuestos con tus pedidos reales antes de producir.</t>
  </si>
  <si>
    <t xml:space="preserve">Ingresos proyectados (MXN)</t>
  </si>
  <si>
    <t xml:space="preserve">Conservador</t>
  </si>
  <si>
    <t xml:space="preserve">Base</t>
  </si>
  <si>
    <t xml:space="preserve">Optimista</t>
  </si>
  <si>
    <t xml:space="preserve">Noviembre</t>
  </si>
  <si>
    <t xml:space="preserve">Diciembre</t>
  </si>
  <si>
    <t xml:space="preserve">Total noviembre + diciembre</t>
  </si>
  <si>
    <t xml:space="preserve">Pedidos totales</t>
  </si>
  <si>
    <t xml:space="preserve">Inversión en anuncios</t>
  </si>
  <si>
    <t xml:space="preserve">ROAS de los anuncios (todo el periodo)</t>
  </si>
  <si>
    <t xml:space="preserve">Ingresos que dependen de anuncios</t>
  </si>
  <si>
    <t xml:space="preserve">Ingreso por habitante de México</t>
  </si>
  <si>
    <t xml:space="preserve">Qué producir (escenario base + colchón)</t>
  </si>
  <si>
    <t xml:space="preserve">Producto</t>
  </si>
  <si>
    <t xml:space="preserve">Ingresos nov + dic</t>
  </si>
  <si>
    <t xml:space="preserve">Unidades base</t>
  </si>
  <si>
    <t xml:space="preserve">Producir</t>
  </si>
  <si>
    <t xml:space="preserve">Tipo</t>
  </si>
  <si>
    <t xml:space="preserve">Total</t>
  </si>
  <si>
    <t xml:space="preserve">Piezas de ficha a imprimir (base + colchón)</t>
  </si>
  <si>
    <t xml:space="preserve">Cómo leer esto</t>
  </si>
  <si>
    <t xml:space="preserve">1. Los tres escenarios mueven la inversión, el CPM, el CTR, la conversión, el ticket y los pedidos orgánicos. Ninguno es un pronóstico garantizado.</t>
  </si>
  <si>
    <t xml:space="preserve">2. El supuesto que más pesa son tus pedidos orgánicos por semana (hoja Supuestos, fila 11, en amarillo). Con tu dato real, la proyección pasa de estimación a cálculo.</t>
  </si>
  <si>
    <t xml:space="preserve">3. Con estos supuestos, los anuncios por sí solos recuperan menos de lo que cuestan en la primera compra (ROAS menor a 1). Su valor está en construir audiencia para retargeting y para los pedidos orgánicos.</t>
  </si>
  <si>
    <t xml:space="preserve">4. Las fichas de $5 no sostienen la inversión: el modelo las trata como gancho. Los paquetes, los personalizados y los kits son los que mueven el ingreso.</t>
  </si>
  <si>
    <t xml:space="preserve">5. Los kits de temporada y la impresión 3D se cotizan en la tienda; sus precios de $900 y $600 son supuestos para que confirmes.</t>
  </si>
  <si>
    <t xml:space="preserve">6. Faltan datos para calcular utilidad: costo de producción, capacidad de impresión y tiempos de entrega. Con ellos se agrega margen y fecha límite de pedidos.</t>
  </si>
  <si>
    <t xml:space="preserve">Supuestos del modelo · Mosaicca · noviembre y diciembre de 2026</t>
  </si>
  <si>
    <t xml:space="preserve">Azul = dato que tú editas. Amarillo = el que más mueve el resultado: cámbialo por tu dato real. Todo lo demás se recalcula solo.</t>
  </si>
  <si>
    <t xml:space="preserve">Supuesto (por escenario)</t>
  </si>
  <si>
    <t xml:space="preserve">Unidad</t>
  </si>
  <si>
    <t xml:space="preserve">Fuente o nota</t>
  </si>
  <si>
    <t xml:space="preserve">Inversión en anuncios · noviembre</t>
  </si>
  <si>
    <t xml:space="preserve">MXN</t>
  </si>
  <si>
    <t xml:space="preserve">Base = el ejemplo de la campaña de Facebook ($200 al día). Decisión tuya.</t>
  </si>
  <si>
    <t xml:space="preserve">Inversión en anuncios · diciembre</t>
  </si>
  <si>
    <t xml:space="preserve">Igual que arriba.</t>
  </si>
  <si>
    <t xml:space="preserve">CPM (costo por mil impresiones)</t>
  </si>
  <si>
    <t xml:space="preserve">Supuesto del modelo. Reemplázalo con el CPM real de tu Administrador de anuncios.</t>
  </si>
  <si>
    <t xml:space="preserve">CTR de enlace (clics ÷ impresiones)</t>
  </si>
  <si>
    <t xml:space="preserve">%</t>
  </si>
  <si>
    <t xml:space="preserve">Supuesto del modelo. Reemplázalo con tu CTR real.</t>
  </si>
  <si>
    <t xml:space="preserve">Clic → pedido (tienda web y WhatsApp)</t>
  </si>
  <si>
    <t xml:space="preserve">Supuesto del modelo para tráfico frío de una tienda pequeña.</t>
  </si>
  <si>
    <t xml:space="preserve">Ticket promedio por pedido</t>
  </si>
  <si>
    <t xml:space="preserve">Supuesto. Los paquetes ($70 a $280) y los personalizados ($150 a $700) fijan el ticket.</t>
  </si>
  <si>
    <t xml:space="preserve">Pedidos orgánicos por semana (sin anuncios)</t>
  </si>
  <si>
    <t xml:space="preserve">pedidos</t>
  </si>
  <si>
    <t xml:space="preserve">NO TENGO TUS VENTAS. Pon aquí tus pedidos semanales reales de las últimas 4 semanas (WhatsApp, Instagram, tienda).</t>
  </si>
  <si>
    <t xml:space="preserve">Factores de temporada (iguales en los 3 escenarios)</t>
  </si>
  <si>
    <t xml:space="preserve">Factor CPM (competencia por Buen Fin y Navidad)</t>
  </si>
  <si>
    <t xml:space="preserve">x</t>
  </si>
  <si>
    <t xml:space="preserve">Supuesto: los anuncios se encarecen cuando compite todo el comercio.</t>
  </si>
  <si>
    <t xml:space="preserve">Factor de conversión</t>
  </si>
  <si>
    <t xml:space="preserve">Supuesto: más intención de compra en Buen Fin y aguinaldo.</t>
  </si>
  <si>
    <t xml:space="preserve">Factor de pedidos orgánicos</t>
  </si>
  <si>
    <t xml:space="preserve">Supuesto: la lotería y los regalos se mueven sobre todo en diciembre (posadas, aguinaldo).</t>
  </si>
  <si>
    <t xml:space="preserve">Semanas del mes</t>
  </si>
  <si>
    <t xml:space="preserve">semanas</t>
  </si>
  <si>
    <t xml:space="preserve">Días del mes ÷ 7.</t>
  </si>
  <si>
    <t xml:space="preserve">Colchón de producción sobre la demanda base</t>
  </si>
  <si>
    <t xml:space="preserve">Supuesto. Cubre picos y mermas. Súbelo si tu tiempo de entrega es largo.</t>
  </si>
  <si>
    <t xml:space="preserve">Mezcla de ingresos por producto</t>
  </si>
  <si>
    <t xml:space="preserve">Los pesos no tienen que sumar 100: el modelo los convierte en porcentaje. Los precios salen de la tienda (promedios ponderados por grupo).</t>
  </si>
  <si>
    <t xml:space="preserve">Precio unit. (MXN)</t>
  </si>
  <si>
    <t xml:space="preserve">Peso noviembre</t>
  </si>
  <si>
    <t xml:space="preserve">Peso diciembre</t>
  </si>
  <si>
    <t xml:space="preserve">Tipo de producción</t>
  </si>
  <si>
    <t xml:space="preserve">Nota</t>
  </si>
  <si>
    <t xml:space="preserve">Piezas de ficha por unidad</t>
  </si>
  <si>
    <t xml:space="preserve">Fichas de lotería sueltas</t>
  </si>
  <si>
    <t xml:space="preserve">Stock</t>
  </si>
  <si>
    <t xml:space="preserve">Precio de la tienda. Pieza más barata: sirve de gancho.</t>
  </si>
  <si>
    <t xml:space="preserve">Paquete de 25 fichas</t>
  </si>
  <si>
    <t xml:space="preserve">Precio de la tienda.</t>
  </si>
  <si>
    <t xml:space="preserve">Paquete de 50 fichas</t>
  </si>
  <si>
    <t xml:space="preserve">Paquete de 100 fichas</t>
  </si>
  <si>
    <t xml:space="preserve">Precio de la tienda. Sube en diciembre: juego completo para posadas.</t>
  </si>
  <si>
    <t xml:space="preserve">Tazas personalizadas</t>
  </si>
  <si>
    <t xml:space="preserve">Bajo pedido</t>
  </si>
  <si>
    <t xml:space="preserve">Promedio de las 2 tazas ($150 y $245).</t>
  </si>
  <si>
    <t xml:space="preserve">Vasos y termos personalizados</t>
  </si>
  <si>
    <t xml:space="preserve">Promedio ponderado de 7 vasos ($360 a $450) y 3 termos ($600 a $700).</t>
  </si>
  <si>
    <t xml:space="preserve">Agendas</t>
  </si>
  <si>
    <t xml:space="preserve">Promedio de 6 modelos ($180 a $650). Pico de agendas 2027 en diciembre.</t>
  </si>
  <si>
    <t xml:space="preserve">Libretas</t>
  </si>
  <si>
    <t xml:space="preserve">Promedio de 6 modelos ($100 a $450).</t>
  </si>
  <si>
    <t xml:space="preserve">Sellos (madera, autoentintables y cera)</t>
  </si>
  <si>
    <t xml:space="preserve">Promedio ponderado de 10 modelos ($196 a $879).</t>
  </si>
  <si>
    <t xml:space="preserve">Impresión 3D y otros personalizados</t>
  </si>
  <si>
    <t xml:space="preserve">A cotizar en la tienda. $600 es un supuesto tuyo para confirmar.</t>
  </si>
  <si>
    <t xml:space="preserve">Mini CD con NFC</t>
  </si>
  <si>
    <t xml:space="preserve">Precio de promoción de la tienda (regular $219).</t>
  </si>
  <si>
    <t xml:space="preserve">Colección Pride</t>
  </si>
  <si>
    <t xml:space="preserve">Promedio ponderado de 11 productos con precio ($15 a $450). Fuera de temporada (jun a ago).</t>
  </si>
  <si>
    <t xml:space="preserve">Kits y regalos de temporada (Navidad)</t>
  </si>
  <si>
    <t xml:space="preserve">A cotizar en la tienda. $900 es un supuesto tuyo para confirmar.</t>
  </si>
  <si>
    <t xml:space="preserve">Suma de pesos</t>
  </si>
  <si>
    <t xml:space="preserve">Mercado y consumo per cápita en México</t>
  </si>
  <si>
    <t xml:space="preserve">Contexto de arriba hacia abajo. Sirve para juzgar si la proyección de la hoja Demanda es razonable frente al tamaño del mercado.</t>
  </si>
  <si>
    <t xml:space="preserve">Dato</t>
  </si>
  <si>
    <t xml:space="preserve">Valor</t>
  </si>
  <si>
    <t xml:space="preserve">Población de México (15 oct 2025)</t>
  </si>
  <si>
    <t xml:space="preserve">personas</t>
  </si>
  <si>
    <t xml:space="preserve">INEGI, Encuesta Intercensal 2025 (vía Uno TV y Xataka México).</t>
  </si>
  <si>
    <t xml:space="preserve">Personas por hogar</t>
  </si>
  <si>
    <t xml:space="preserve">Supuesto del modelo (INEGI reporta hogares más pequeños). Verifica el dato de INEGI.</t>
  </si>
  <si>
    <t xml:space="preserve">Hogares en México</t>
  </si>
  <si>
    <t xml:space="preserve">hogares</t>
  </si>
  <si>
    <t xml:space="preserve">Cálculo.</t>
  </si>
  <si>
    <t xml:space="preserve">Gasto promedio en regalos de Navidad por hogar</t>
  </si>
  <si>
    <t xml:space="preserve">Kantar 2025, citado por Milenio y El CEO (otras encuestas dan desde $4,022; ver hoja Fuentes).</t>
  </si>
  <si>
    <t xml:space="preserve">Mercado de regalos de Navidad</t>
  </si>
  <si>
    <t xml:space="preserve">Cálculo: hogares × gasto por hogar.</t>
  </si>
  <si>
    <t xml:space="preserve">Parte que se compra en línea</t>
  </si>
  <si>
    <t xml:space="preserve">Supuesto dentro del rango de 21% a 55% que reporta Deloitte (vía Marketing4eCommerce).</t>
  </si>
  <si>
    <t xml:space="preserve">Mercado de regalos en línea</t>
  </si>
  <si>
    <t xml:space="preserve">Parte que va a personalizados, coleccionables y papelería</t>
  </si>
  <si>
    <t xml:space="preserve">Supuesto del modelo. No existe una cifra pública para este nicho; cámbiala si tienes una mejor.</t>
  </si>
  <si>
    <t xml:space="preserve">Mercado direccionable en línea (SAM)</t>
  </si>
  <si>
    <t xml:space="preserve">Referencias del comercio en línea (no entran al cálculo)</t>
  </si>
  <si>
    <t xml:space="preserve">Ventas del comercio electrónico en México, 2025</t>
  </si>
  <si>
    <t xml:space="preserve">AMVO (cifra reportada por prensa; no encontré el estudio original).</t>
  </si>
  <si>
    <t xml:space="preserve">Compradores digitales en México, 2025</t>
  </si>
  <si>
    <t xml:space="preserve">AMVO (vía prensa).</t>
  </si>
  <si>
    <t xml:space="preserve">Gasto en línea por comprador digital al año</t>
  </si>
  <si>
    <t xml:space="preserve">Derrama económica del Buen Fin 2025</t>
  </si>
  <si>
    <t xml:space="preserve">Secretaría de Economía (+26.6% frente a 2024).</t>
  </si>
  <si>
    <t xml:space="preserve">Ventas en línea del Buen Fin 2025</t>
  </si>
  <si>
    <t xml:space="preserve">AMVO (21% de la derrama).</t>
  </si>
  <si>
    <t xml:space="preserve">Ticket promedio del Hot Sale 2025</t>
  </si>
  <si>
    <t xml:space="preserve">AMVO (vía Milenio y Expansión).</t>
  </si>
  <si>
    <t xml:space="preserve">Contraste con la proyección (hoja Demanda)</t>
  </si>
  <si>
    <t xml:space="preserve">Indicador</t>
  </si>
  <si>
    <t xml:space="preserve">Ingresos nov + dic proyectados (MXN)</t>
  </si>
  <si>
    <t xml:space="preserve">Ingreso por habitante de México (MXN)</t>
  </si>
  <si>
    <t xml:space="preserve">Cuota implícita del mercado direccionable (SAM)</t>
  </si>
  <si>
    <t xml:space="preserve">Pesos vendidos por cada $1,000,000 del SAM</t>
  </si>
  <si>
    <t xml:space="preserve">Lectura: una cuota por debajo de 0.01% del SAM es realista para una marca pequeña que vende en línea con anuncios locales y nacionales. Si te sale mucho más alta, revisa tus supuestos de pedidos.</t>
  </si>
  <si>
    <t xml:space="preserve">Demanda e ingresos proyectados · de abajo hacia arriba</t>
  </si>
  <si>
    <t xml:space="preserve">Anuncios: inversión ÷ CPM → impresiones → clics → pedidos. Más los pedidos que ya llegan sin anuncios, ajustados por temporada.</t>
  </si>
  <si>
    <t xml:space="preserve">Concepto</t>
  </si>
  <si>
    <t xml:space="preserve">NOVIEMBRE</t>
  </si>
  <si>
    <t xml:space="preserve">CPM efectivo (con factor de temporada)</t>
  </si>
  <si>
    <t xml:space="preserve">Impresiones</t>
  </si>
  <si>
    <t xml:space="preserve">impr.</t>
  </si>
  <si>
    <t xml:space="preserve">Clics al sitio o a WhatsApp</t>
  </si>
  <si>
    <t xml:space="preserve">clics</t>
  </si>
  <si>
    <t xml:space="preserve">Conversión efectiva (clic → pedido)</t>
  </si>
  <si>
    <t xml:space="preserve">Pedidos por anuncios</t>
  </si>
  <si>
    <t xml:space="preserve">Pedidos orgánicos (sin anuncios)</t>
  </si>
  <si>
    <t xml:space="preserve">Ingresos por anuncios</t>
  </si>
  <si>
    <t xml:space="preserve">Ingresos orgánicos</t>
  </si>
  <si>
    <t xml:space="preserve">INGRESOS TOTALES DEL MES</t>
  </si>
  <si>
    <t xml:space="preserve">ROAS de anuncios (ingreso ÷ inversión)</t>
  </si>
  <si>
    <t xml:space="preserve">DICIEMBRE</t>
  </si>
  <si>
    <t xml:space="preserve">TOTAL</t>
  </si>
  <si>
    <t xml:space="preserve">Pedidos totales nov + dic</t>
  </si>
  <si>
    <t xml:space="preserve">Inversión total en anuncios</t>
  </si>
  <si>
    <t xml:space="preserve">Porcentaje de ingresos que depende de anuncios</t>
  </si>
  <si>
    <t xml:space="preserve">Los ingresos son ventas brutas con IVA incluido si tus precios lo incluyen; no descuentan comisiones, envíos ni costos de producción.</t>
  </si>
  <si>
    <t xml:space="preserve">Ingresos y producción por producto</t>
  </si>
  <si>
    <t xml:space="preserve">Unidades = ingresos del mes × peso del producto ÷ precio. «Producir» = demanda base de nov + dic más el colchón. Para productos bajo pedido, es el material a tener listo.</t>
  </si>
  <si>
    <t xml:space="preserve">Precio (MXN)</t>
  </si>
  <si>
    <t xml:space="preserve">Ingresos nov (base)</t>
  </si>
  <si>
    <t xml:space="preserve">Ingresos dic (base)</t>
  </si>
  <si>
    <t xml:space="preserve">Ingresos nov + dic (base)</t>
  </si>
  <si>
    <t xml:space="preserve">Unid. nov · conserv.</t>
  </si>
  <si>
    <t xml:space="preserve">Unid. nov · base</t>
  </si>
  <si>
    <t xml:space="preserve">Unid. nov · optim.</t>
  </si>
  <si>
    <t xml:space="preserve">Unid. dic · conserv.</t>
  </si>
  <si>
    <t xml:space="preserve">Unid. dic · base</t>
  </si>
  <si>
    <t xml:space="preserve">Unid. dic · optim.</t>
  </si>
  <si>
    <t xml:space="preserve">Total unid. (base)</t>
  </si>
  <si>
    <t xml:space="preserve">Producir (base + colchón)</t>
  </si>
  <si>
    <t xml:space="preserve">Tope si se cumple el escenario optimista</t>
  </si>
  <si>
    <t xml:space="preserve">Piezas de ficha de lotería a imprimir (sueltas + dentro de paquetes)</t>
  </si>
  <si>
    <t xml:space="preserve">Escenario</t>
  </si>
  <si>
    <t xml:space="preserve">Piezas nov</t>
  </si>
  <si>
    <t xml:space="preserve">Piezas dic</t>
  </si>
  <si>
    <t xml:space="preserve">Piezas nov + dic</t>
  </si>
  <si>
    <t xml:space="preserve">Producir (+ colchón)</t>
  </si>
  <si>
    <t xml:space="preserve">Las piezas de ficha incluyen las de los paquetes: un paquete de 100 consume 100 fichas. Revisa tu capacidad de impresión 3D contra la fila Base antes de comprometer fechas.</t>
  </si>
  <si>
    <t xml:space="preserve">Fuentes consultadas (octubre de 2026)</t>
  </si>
  <si>
    <t xml:space="preserve">Fuente</t>
  </si>
  <si>
    <t xml:space="preserve">Población de México 130.9 millones</t>
  </si>
  <si>
    <t xml:space="preserve">INEGI, Encuesta Intercensal 2025: https://www.unotv.com/nacional/mexico-suma-130-millones-habitantes-envejece-inegi/</t>
  </si>
  <si>
    <t xml:space="preserve">Gasto en regalos de Navidad $6,359 por hogar (Kantar)</t>
  </si>
  <si>
    <t xml:space="preserve">https://www.milenio.com/negocios/consumo-navideno-2025-mexicanos-gastaran-6-mil-360-pesos-regalos</t>
  </si>
  <si>
    <t xml:space="preserve">Otras estimaciones de gasto en regalos ($4,022 a $7,250)</t>
  </si>
  <si>
    <t xml:space="preserve">https://www.elfinanciero.com.mx/economia/2025/12/17/mexicanos-compran-regalos-de-navidad-2025-con-cautela-y-control-del-gasto/</t>
  </si>
  <si>
    <t xml:space="preserve">Parte de la Navidad que se compra en línea (21% a 55%, Deloitte)</t>
  </si>
  <si>
    <t xml:space="preserve">https://marketing4ecommerce.mx/ecommerce-gasto-navidad-mexico/</t>
  </si>
  <si>
    <t xml:space="preserve">Buen Fin 2025: derrama de $219 mil millones, +26.6%</t>
  </si>
  <si>
    <t xml:space="preserve">https://mexicobusiness.news/ecommerce/news/buen-fin-2025-sales-climb-266-e-commerce-accounts-21</t>
  </si>
  <si>
    <t xml:space="preserve">Buen Fin 2025: ventas en línea $45.9 mil millones (AMVO)</t>
  </si>
  <si>
    <t xml:space="preserve">https://marketing4ecommerce.mx/buen-fin-ventas-en-linea-mexico/</t>
  </si>
  <si>
    <t xml:space="preserve">Comercio electrónico 2025 y compradores digitales (AMVO)</t>
  </si>
  <si>
    <t xml:space="preserve">https://mexicoindustry.com/noticia/e-commerce-en-mexico-deja-casi-790-ml-mdp-en-ventas-amvo</t>
  </si>
  <si>
    <t xml:space="preserve">Ticket del Hot Sale 2025</t>
  </si>
  <si>
    <t xml:space="preserve">https://expansion.mx/tecnologia/2025/07/08/hot-sale-2025-genero-mas-ventas-pero-gastaron-menos</t>
  </si>
  <si>
    <t xml:space="preserve">Precios de los productos</t>
  </si>
  <si>
    <t xml:space="preserve">Tienda Mosaicca (catálogo vigente al 29 de octubre de 2026).</t>
  </si>
  <si>
    <t xml:space="preserve">CPM, CTR, conversión, ticket, pedidos orgánicos, mezcla y factores de temporada</t>
  </si>
  <si>
    <t xml:space="preserve">Supuestos del modelo, sin fuente pública. Sustitúyelos con tus datos de Ads Manager y de tus pedidos.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</si>
</sst>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#,##0"/>
    <numFmt numFmtId="167" formatCode="0.00\x"/>
    <numFmt numFmtId="168" formatCode="0.0%;\(0.0%\);\-"/>
    <numFmt numFmtId="169" formatCode="\$0.0000"/>
    <numFmt numFmtId="170" formatCode="#,##0;\(#,##0\);\-"/>
    <numFmt numFmtId="171" formatCode="0.00%;\(0.00%\);\-"/>
    <numFmt numFmtId="172" formatCode="0.00;\(0.00\);\-"/>
    <numFmt numFmtId="173" formatCode="0.0000%"/>
    <numFmt numFmtId="174" formatCode="\$#,##0.00;&quot;($&quot;#,##0.00\);\-"/>
    <numFmt numFmtId="175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5104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5104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C63C7"/>
        <bgColor rgb="FF808080"/>
      </patternFill>
    </fill>
    <fill>
      <patternFill patternType="solid">
        <fgColor rgb="FFFFE9A8"/>
        <bgColor rgb="FFFFCC99"/>
      </patternFill>
    </fill>
    <fill>
      <patternFill patternType="solid">
        <fgColor rgb="FFEFEBFF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5104F"/>
      <rgbColor rgb="FF808000"/>
      <rgbColor rgb="FF800080"/>
      <rgbColor rgb="FF008080"/>
      <rgbColor rgb="FFC0C0C0"/>
      <rgbColor rgb="FF808080"/>
      <rgbColor rgb="FF9999FF"/>
      <rgbColor rgb="FF993366"/>
      <rgbColor rgb="FFEFEB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C63C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8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Demanda!C16</f>
        <v>9146.4347826087</v>
      </c>
      <c r="C5" s="6" t="n">
        <f aca="false">Demanda!D16</f>
        <v>22265.5120204604</v>
      </c>
      <c r="D5" s="6" t="n">
        <f aca="false">Demanda!E16</f>
        <v>51988.248447205</v>
      </c>
    </row>
    <row r="6" customFormat="false" ht="15" hidden="false" customHeight="false" outlineLevel="0" collapsed="false">
      <c r="A6" s="5" t="s">
        <v>7</v>
      </c>
      <c r="B6" s="6" t="n">
        <f aca="false">Demanda!C31</f>
        <v>12861.6727272727</v>
      </c>
      <c r="C6" s="6" t="n">
        <f aca="false">Demanda!D31</f>
        <v>30216.7058823529</v>
      </c>
      <c r="D6" s="6" t="n">
        <f aca="false">Demanda!E31</f>
        <v>66675.0857142857</v>
      </c>
    </row>
    <row r="7" customFormat="false" ht="15" hidden="false" customHeight="false" outlineLevel="0" collapsed="false">
      <c r="A7" s="7" t="s">
        <v>8</v>
      </c>
      <c r="B7" s="8" t="n">
        <f aca="false">B5+B6</f>
        <v>22008.1075098814</v>
      </c>
      <c r="C7" s="8" t="n">
        <f aca="false">C5+C6</f>
        <v>52482.2179028133</v>
      </c>
      <c r="D7" s="8" t="n">
        <f aca="false">D5+D6</f>
        <v>118663.334161491</v>
      </c>
    </row>
    <row r="8" customFormat="false" ht="15" hidden="false" customHeight="false" outlineLevel="0" collapsed="false">
      <c r="A8" s="5" t="s">
        <v>9</v>
      </c>
      <c r="B8" s="9" t="n">
        <f aca="false">Demanda!C36</f>
        <v>68.7753359683794</v>
      </c>
      <c r="C8" s="9" t="n">
        <f aca="false">Demanda!D36</f>
        <v>138.111099744246</v>
      </c>
      <c r="D8" s="9" t="n">
        <f aca="false">Demanda!E36</f>
        <v>263.696298136646</v>
      </c>
    </row>
    <row r="9" customFormat="false" ht="15" hidden="false" customHeight="false" outlineLevel="0" collapsed="false">
      <c r="A9" s="5" t="s">
        <v>10</v>
      </c>
      <c r="B9" s="6" t="n">
        <f aca="false">Demanda!C37</f>
        <v>8000</v>
      </c>
      <c r="C9" s="6" t="n">
        <f aca="false">Demanda!D37</f>
        <v>12000</v>
      </c>
      <c r="D9" s="6" t="n">
        <f aca="false">Demanda!E37</f>
        <v>18000</v>
      </c>
    </row>
    <row r="10" customFormat="false" ht="15" hidden="false" customHeight="false" outlineLevel="0" collapsed="false">
      <c r="A10" s="5" t="s">
        <v>11</v>
      </c>
      <c r="B10" s="10" t="n">
        <f aca="false">IFERROR((Demanda!C14+Demanda!C29)/B9,0)</f>
        <v>0.223013438735178</v>
      </c>
      <c r="C10" s="10" t="n">
        <f aca="false">IFERROR((Demanda!D14+Demanda!D29)/C9,0)</f>
        <v>0.771118158567775</v>
      </c>
      <c r="D10" s="10" t="n">
        <f aca="false">IFERROR((Demanda!E14+Demanda!E29)/D9,0)</f>
        <v>2.16840745341615</v>
      </c>
    </row>
    <row r="11" customFormat="false" ht="15" hidden="false" customHeight="false" outlineLevel="0" collapsed="false">
      <c r="A11" s="5" t="s">
        <v>12</v>
      </c>
      <c r="B11" s="11" t="n">
        <f aca="false">Demanda!C38</f>
        <v>0.0810659212329082</v>
      </c>
      <c r="C11" s="11" t="n">
        <f aca="false">Demanda!D38</f>
        <v>0.176315298258713</v>
      </c>
      <c r="D11" s="11" t="n">
        <f aca="false">Demanda!E38</f>
        <v>0.328924974485989</v>
      </c>
    </row>
    <row r="12" customFormat="false" ht="15" hidden="false" customHeight="false" outlineLevel="0" collapsed="false">
      <c r="A12" s="5" t="s">
        <v>13</v>
      </c>
      <c r="B12" s="12" t="n">
        <f aca="false">Mercado!B26</f>
        <v>0.000168114633009347</v>
      </c>
      <c r="C12" s="12" t="n">
        <f aca="false">Mercado!C26</f>
        <v>0.000400899023157107</v>
      </c>
      <c r="D12" s="12" t="n">
        <f aca="false">Mercado!D26</f>
        <v>0.000906440631720271</v>
      </c>
    </row>
    <row r="14" customFormat="false" ht="15" hidden="false" customHeight="false" outlineLevel="0" collapsed="false">
      <c r="A14" s="13" t="s">
        <v>14</v>
      </c>
    </row>
    <row r="15" customFormat="false" ht="31.5" hidden="false" customHeight="true" outlineLevel="0" collapsed="false">
      <c r="A15" s="3" t="s">
        <v>15</v>
      </c>
      <c r="B15" s="4" t="s">
        <v>16</v>
      </c>
      <c r="C15" s="4" t="s">
        <v>17</v>
      </c>
      <c r="D15" s="4" t="s">
        <v>18</v>
      </c>
      <c r="E15" s="4" t="s">
        <v>19</v>
      </c>
    </row>
    <row r="16" customFormat="false" ht="15" hidden="false" customHeight="false" outlineLevel="0" collapsed="false">
      <c r="A16" s="14" t="str">
        <f aca="false">Producción!A5</f>
        <v>Fichas de lotería sueltas</v>
      </c>
      <c r="B16" s="6" t="n">
        <f aca="false">Producción!F5</f>
        <v>1872.46979709553</v>
      </c>
      <c r="C16" s="15" t="n">
        <f aca="false">Producción!M5</f>
        <v>374.493959419105</v>
      </c>
      <c r="D16" s="15" t="n">
        <f aca="false">Producción!N5</f>
        <v>431</v>
      </c>
      <c r="E16" s="16" t="str">
        <f aca="false">Producción!C5</f>
        <v>Stock</v>
      </c>
    </row>
    <row r="17" customFormat="false" ht="15" hidden="false" customHeight="false" outlineLevel="0" collapsed="false">
      <c r="A17" s="14" t="str">
        <f aca="false">Producción!A6</f>
        <v>Paquete de 25 fichas</v>
      </c>
      <c r="B17" s="6" t="n">
        <f aca="false">Producción!F6</f>
        <v>5688.87597562614</v>
      </c>
      <c r="C17" s="15" t="n">
        <f aca="false">Producción!M6</f>
        <v>81.2696567946592</v>
      </c>
      <c r="D17" s="15" t="n">
        <f aca="false">Producción!N6</f>
        <v>94</v>
      </c>
      <c r="E17" s="16" t="str">
        <f aca="false">Producción!C6</f>
        <v>Stock</v>
      </c>
    </row>
    <row r="18" customFormat="false" ht="15" hidden="false" customHeight="false" outlineLevel="0" collapsed="false">
      <c r="A18" s="14" t="str">
        <f aca="false">Producción!A7</f>
        <v>Paquete de 50 fichas</v>
      </c>
      <c r="B18" s="6" t="n">
        <f aca="false">Producción!F7</f>
        <v>5143.67509297891</v>
      </c>
      <c r="C18" s="15" t="n">
        <f aca="false">Producción!M7</f>
        <v>38.101296985029</v>
      </c>
      <c r="D18" s="15" t="n">
        <f aca="false">Producción!N7</f>
        <v>44</v>
      </c>
      <c r="E18" s="16" t="str">
        <f aca="false">Producción!C7</f>
        <v>Stock</v>
      </c>
    </row>
    <row r="19" customFormat="false" ht="15" hidden="false" customHeight="false" outlineLevel="0" collapsed="false">
      <c r="A19" s="14" t="str">
        <f aca="false">Producción!A8</f>
        <v>Paquete de 100 fichas</v>
      </c>
      <c r="B19" s="6" t="n">
        <f aca="false">Producción!F8</f>
        <v>4433.07364551741</v>
      </c>
      <c r="C19" s="15" t="n">
        <f aca="false">Producción!M8</f>
        <v>15.8324058768479</v>
      </c>
      <c r="D19" s="15" t="n">
        <f aca="false">Producción!N8</f>
        <v>19</v>
      </c>
      <c r="E19" s="16" t="str">
        <f aca="false">Producción!C8</f>
        <v>Stock</v>
      </c>
    </row>
    <row r="20" customFormat="false" ht="15" hidden="false" customHeight="false" outlineLevel="0" collapsed="false">
      <c r="A20" s="14" t="str">
        <f aca="false">Producción!A9</f>
        <v>Tazas personalizadas</v>
      </c>
      <c r="B20" s="6" t="n">
        <f aca="false">Producción!F9</f>
        <v>4669.94079467125</v>
      </c>
      <c r="C20" s="15" t="n">
        <f aca="false">Producción!M9</f>
        <v>23.5855595690467</v>
      </c>
      <c r="D20" s="15" t="n">
        <f aca="false">Producción!N9</f>
        <v>28</v>
      </c>
      <c r="E20" s="16" t="str">
        <f aca="false">Producción!C9</f>
        <v>Bajo pedido</v>
      </c>
    </row>
    <row r="21" customFormat="false" ht="15" hidden="false" customHeight="false" outlineLevel="0" collapsed="false">
      <c r="A21" s="14" t="str">
        <f aca="false">Producción!A10</f>
        <v>Vasos y termos personalizados</v>
      </c>
      <c r="B21" s="6" t="n">
        <f aca="false">Producción!F10</f>
        <v>5760.34255996571</v>
      </c>
      <c r="C21" s="15" t="n">
        <f aca="false">Producción!M10</f>
        <v>11.5902264788042</v>
      </c>
      <c r="D21" s="15" t="n">
        <f aca="false">Producción!N10</f>
        <v>14</v>
      </c>
      <c r="E21" s="16" t="str">
        <f aca="false">Producción!C10</f>
        <v>Bajo pedido</v>
      </c>
    </row>
    <row r="22" customFormat="false" ht="15" hidden="false" customHeight="false" outlineLevel="0" collapsed="false">
      <c r="A22" s="14" t="str">
        <f aca="false">Producción!A11</f>
        <v>Agendas</v>
      </c>
      <c r="B22" s="6" t="n">
        <f aca="false">Producción!F11</f>
        <v>5286.60826165804</v>
      </c>
      <c r="C22" s="15" t="n">
        <f aca="false">Producción!M11</f>
        <v>13.3163936061915</v>
      </c>
      <c r="D22" s="15" t="n">
        <f aca="false">Producción!N11</f>
        <v>16</v>
      </c>
      <c r="E22" s="16" t="str">
        <f aca="false">Producción!C11</f>
        <v>Bajo pedido</v>
      </c>
    </row>
    <row r="23" customFormat="false" ht="15" hidden="false" customHeight="false" outlineLevel="0" collapsed="false">
      <c r="A23" s="14" t="str">
        <f aca="false">Producción!A12</f>
        <v>Libretas</v>
      </c>
      <c r="B23" s="6" t="n">
        <f aca="false">Producción!F12</f>
        <v>2489.13726408232</v>
      </c>
      <c r="C23" s="15" t="n">
        <f aca="false">Producción!M12</f>
        <v>9.95654905632929</v>
      </c>
      <c r="D23" s="15" t="n">
        <f aca="false">Producción!N12</f>
        <v>12</v>
      </c>
      <c r="E23" s="16" t="str">
        <f aca="false">Producción!C12</f>
        <v>Bajo pedido</v>
      </c>
    </row>
    <row r="24" customFormat="false" ht="15" hidden="false" customHeight="false" outlineLevel="0" collapsed="false">
      <c r="A24" s="14" t="str">
        <f aca="false">Producción!A13</f>
        <v>Sellos (madera, autoentintables y cera)</v>
      </c>
      <c r="B24" s="6" t="n">
        <f aca="false">Producción!F13</f>
        <v>4218.67389249872</v>
      </c>
      <c r="C24" s="15" t="n">
        <f aca="false">Producción!M13</f>
        <v>9.94970257664793</v>
      </c>
      <c r="D24" s="15" t="n">
        <f aca="false">Producción!N13</f>
        <v>12</v>
      </c>
      <c r="E24" s="16" t="str">
        <f aca="false">Producción!C13</f>
        <v>Bajo pedido</v>
      </c>
    </row>
    <row r="25" customFormat="false" ht="15" hidden="false" customHeight="false" outlineLevel="0" collapsed="false">
      <c r="A25" s="14" t="str">
        <f aca="false">Producción!A14</f>
        <v>Impresión 3D y otros personalizados</v>
      </c>
      <c r="B25" s="6" t="n">
        <f aca="false">Producción!F14</f>
        <v>1635.60264794169</v>
      </c>
      <c r="C25" s="15" t="n">
        <f aca="false">Producción!M14</f>
        <v>2.72600441323615</v>
      </c>
      <c r="D25" s="15" t="n">
        <f aca="false">Producción!N14</f>
        <v>4</v>
      </c>
      <c r="E25" s="16" t="str">
        <f aca="false">Producción!C14</f>
        <v>Bajo pedido</v>
      </c>
    </row>
    <row r="26" customFormat="false" ht="15" hidden="false" customHeight="false" outlineLevel="0" collapsed="false">
      <c r="A26" s="14" t="str">
        <f aca="false">Producción!A15</f>
        <v>Mini CD con NFC</v>
      </c>
      <c r="B26" s="6" t="n">
        <f aca="false">Producción!F15</f>
        <v>3887.87276287018</v>
      </c>
      <c r="C26" s="15" t="n">
        <f aca="false">Producción!M15</f>
        <v>21.0155284479469</v>
      </c>
      <c r="D26" s="15" t="n">
        <f aca="false">Producción!N15</f>
        <v>25</v>
      </c>
      <c r="E26" s="16" t="str">
        <f aca="false">Producción!C15</f>
        <v>Stock</v>
      </c>
    </row>
    <row r="27" customFormat="false" ht="15" hidden="false" customHeight="false" outlineLevel="0" collapsed="false">
      <c r="A27" s="14" t="str">
        <f aca="false">Producción!A16</f>
        <v>Colección Pride</v>
      </c>
      <c r="B27" s="6" t="n">
        <f aca="false">Producción!F16</f>
        <v>1327.2689144483</v>
      </c>
      <c r="C27" s="15" t="n">
        <f aca="false">Producción!M16</f>
        <v>4.93408518382266</v>
      </c>
      <c r="D27" s="15" t="n">
        <f aca="false">Producción!N16</f>
        <v>6</v>
      </c>
      <c r="E27" s="16" t="str">
        <f aca="false">Producción!C16</f>
        <v>Stock</v>
      </c>
    </row>
    <row r="28" customFormat="false" ht="15" hidden="false" customHeight="false" outlineLevel="0" collapsed="false">
      <c r="A28" s="14" t="str">
        <f aca="false">Producción!A17</f>
        <v>Kits y regalos de temporada (Navidad)</v>
      </c>
      <c r="B28" s="6" t="n">
        <f aca="false">Producción!F17</f>
        <v>6068.6762934591</v>
      </c>
      <c r="C28" s="15" t="n">
        <f aca="false">Producción!M17</f>
        <v>6.74297365939901</v>
      </c>
      <c r="D28" s="15" t="n">
        <f aca="false">Producción!N17</f>
        <v>8</v>
      </c>
      <c r="E28" s="16" t="str">
        <f aca="false">Producción!C17</f>
        <v>Bajo pedido</v>
      </c>
    </row>
    <row r="29" customFormat="false" ht="15" hidden="false" customHeight="false" outlineLevel="0" collapsed="false">
      <c r="A29" s="17" t="s">
        <v>20</v>
      </c>
      <c r="B29" s="18" t="n">
        <f aca="false">SUM(B16:B28)</f>
        <v>52482.2179028133</v>
      </c>
      <c r="C29" s="19"/>
      <c r="D29" s="19"/>
      <c r="E29" s="19"/>
    </row>
    <row r="30" customFormat="false" ht="15" hidden="false" customHeight="false" outlineLevel="0" collapsed="false">
      <c r="A30" s="20" t="s">
        <v>21</v>
      </c>
      <c r="D30" s="15" t="n">
        <f aca="false">Producción!N23</f>
        <v>6779</v>
      </c>
    </row>
    <row r="32" customFormat="false" ht="15" hidden="false" customHeight="false" outlineLevel="0" collapsed="false">
      <c r="A32" s="21" t="s">
        <v>22</v>
      </c>
    </row>
    <row r="33" customFormat="false" ht="30" hidden="false" customHeight="true" outlineLevel="0" collapsed="false">
      <c r="A33" s="22" t="s">
        <v>23</v>
      </c>
      <c r="B33" s="22"/>
      <c r="C33" s="22"/>
      <c r="D33" s="22"/>
      <c r="E33" s="22"/>
    </row>
    <row r="34" customFormat="false" ht="30" hidden="false" customHeight="true" outlineLevel="0" collapsed="false">
      <c r="A34" s="22" t="s">
        <v>24</v>
      </c>
      <c r="B34" s="22"/>
      <c r="C34" s="22"/>
      <c r="D34" s="22"/>
      <c r="E34" s="22"/>
    </row>
    <row r="35" customFormat="false" ht="30" hidden="false" customHeight="true" outlineLevel="0" collapsed="false">
      <c r="A35" s="22" t="s">
        <v>25</v>
      </c>
      <c r="B35" s="22"/>
      <c r="C35" s="22"/>
      <c r="D35" s="22"/>
      <c r="E35" s="22"/>
    </row>
    <row r="36" customFormat="false" ht="30" hidden="false" customHeight="true" outlineLevel="0" collapsed="false">
      <c r="A36" s="22" t="s">
        <v>26</v>
      </c>
      <c r="B36" s="22"/>
      <c r="C36" s="22"/>
      <c r="D36" s="22"/>
      <c r="E36" s="22"/>
    </row>
    <row r="37" customFormat="false" ht="30" hidden="false" customHeight="true" outlineLevel="0" collapsed="false">
      <c r="A37" s="22" t="s">
        <v>27</v>
      </c>
      <c r="B37" s="22"/>
      <c r="C37" s="22"/>
      <c r="D37" s="22"/>
      <c r="E37" s="22"/>
    </row>
    <row r="38" customFormat="false" ht="30" hidden="false" customHeight="true" outlineLevel="0" collapsed="false">
      <c r="A38" s="22" t="s">
        <v>28</v>
      </c>
      <c r="B38" s="22"/>
      <c r="C38" s="22"/>
      <c r="D38" s="22"/>
      <c r="E38" s="22"/>
    </row>
  </sheetData>
  <mergeCells count="6">
    <mergeCell ref="A33:E33"/>
    <mergeCell ref="A34:E34"/>
    <mergeCell ref="A35:E35"/>
    <mergeCell ref="A36:E36"/>
    <mergeCell ref="A37:E37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5" min="3" style="0" width="15"/>
    <col collapsed="false" customWidth="true" hidden="false" outlineLevel="0" max="6" min="6" style="0" width="70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31.5" hidden="false" customHeight="true" outlineLevel="0" collapsed="false">
      <c r="A4" s="3" t="s">
        <v>31</v>
      </c>
      <c r="B4" s="4" t="s">
        <v>32</v>
      </c>
      <c r="C4" s="4" t="s">
        <v>3</v>
      </c>
      <c r="D4" s="4" t="s">
        <v>4</v>
      </c>
      <c r="E4" s="4" t="s">
        <v>5</v>
      </c>
      <c r="F4" s="4" t="s">
        <v>33</v>
      </c>
    </row>
    <row r="5" customFormat="false" ht="15.75" hidden="false" customHeight="true" outlineLevel="0" collapsed="false">
      <c r="A5" s="5" t="s">
        <v>34</v>
      </c>
      <c r="B5" s="23" t="s">
        <v>35</v>
      </c>
      <c r="C5" s="24" t="n">
        <v>4000</v>
      </c>
      <c r="D5" s="24" t="n">
        <v>6000</v>
      </c>
      <c r="E5" s="24" t="n">
        <v>9000</v>
      </c>
      <c r="F5" s="25" t="s">
        <v>36</v>
      </c>
    </row>
    <row r="6" customFormat="false" ht="15.75" hidden="false" customHeight="true" outlineLevel="0" collapsed="false">
      <c r="A6" s="5" t="s">
        <v>37</v>
      </c>
      <c r="B6" s="23" t="s">
        <v>35</v>
      </c>
      <c r="C6" s="24" t="n">
        <v>4000</v>
      </c>
      <c r="D6" s="24" t="n">
        <v>6000</v>
      </c>
      <c r="E6" s="24" t="n">
        <v>9000</v>
      </c>
      <c r="F6" s="25" t="s">
        <v>38</v>
      </c>
    </row>
    <row r="7" customFormat="false" ht="27.75" hidden="false" customHeight="true" outlineLevel="0" collapsed="false">
      <c r="A7" s="5" t="s">
        <v>39</v>
      </c>
      <c r="B7" s="23" t="s">
        <v>35</v>
      </c>
      <c r="C7" s="24" t="n">
        <v>110</v>
      </c>
      <c r="D7" s="24" t="n">
        <v>85</v>
      </c>
      <c r="E7" s="24" t="n">
        <v>70</v>
      </c>
      <c r="F7" s="25" t="s">
        <v>40</v>
      </c>
    </row>
    <row r="8" customFormat="false" ht="15.75" hidden="false" customHeight="true" outlineLevel="0" collapsed="false">
      <c r="A8" s="5" t="s">
        <v>41</v>
      </c>
      <c r="B8" s="23" t="s">
        <v>42</v>
      </c>
      <c r="C8" s="26" t="n">
        <v>0.008</v>
      </c>
      <c r="D8" s="26" t="n">
        <v>0.012</v>
      </c>
      <c r="E8" s="26" t="n">
        <v>0.016</v>
      </c>
      <c r="F8" s="25" t="s">
        <v>43</v>
      </c>
    </row>
    <row r="9" customFormat="false" ht="15.75" hidden="false" customHeight="true" outlineLevel="0" collapsed="false">
      <c r="A9" s="5" t="s">
        <v>44</v>
      </c>
      <c r="B9" s="23" t="s">
        <v>42</v>
      </c>
      <c r="C9" s="26" t="n">
        <v>0.01</v>
      </c>
      <c r="D9" s="26" t="n">
        <v>0.015</v>
      </c>
      <c r="E9" s="26" t="n">
        <v>0.022</v>
      </c>
      <c r="F9" s="25" t="s">
        <v>45</v>
      </c>
    </row>
    <row r="10" customFormat="false" ht="27.75" hidden="false" customHeight="true" outlineLevel="0" collapsed="false">
      <c r="A10" s="5" t="s">
        <v>46</v>
      </c>
      <c r="B10" s="23" t="s">
        <v>35</v>
      </c>
      <c r="C10" s="27" t="n">
        <v>320</v>
      </c>
      <c r="D10" s="27" t="n">
        <v>380</v>
      </c>
      <c r="E10" s="27" t="n">
        <v>450</v>
      </c>
      <c r="F10" s="25" t="s">
        <v>47</v>
      </c>
    </row>
    <row r="11" customFormat="false" ht="27.75" hidden="false" customHeight="true" outlineLevel="0" collapsed="false">
      <c r="A11" s="5" t="s">
        <v>48</v>
      </c>
      <c r="B11" s="23" t="s">
        <v>49</v>
      </c>
      <c r="C11" s="28" t="n">
        <v>5</v>
      </c>
      <c r="D11" s="28" t="n">
        <v>9</v>
      </c>
      <c r="E11" s="28" t="n">
        <v>14</v>
      </c>
      <c r="F11" s="25" t="s">
        <v>50</v>
      </c>
    </row>
    <row r="12" customFormat="false" ht="15.75" hidden="false" customHeight="true" outlineLevel="0" collapsed="false"/>
    <row r="13" customFormat="false" ht="15.75" hidden="false" customHeight="true" outlineLevel="0" collapsed="false">
      <c r="A13" s="3" t="s">
        <v>51</v>
      </c>
      <c r="B13" s="4" t="s">
        <v>32</v>
      </c>
      <c r="C13" s="4" t="s">
        <v>6</v>
      </c>
      <c r="D13" s="4" t="s">
        <v>7</v>
      </c>
      <c r="E13" s="4"/>
      <c r="F13" s="4" t="s">
        <v>33</v>
      </c>
    </row>
    <row r="14" customFormat="false" ht="15.75" hidden="false" customHeight="true" outlineLevel="0" collapsed="false">
      <c r="A14" s="5" t="s">
        <v>52</v>
      </c>
      <c r="B14" s="23" t="s">
        <v>53</v>
      </c>
      <c r="C14" s="29" t="n">
        <v>1.15</v>
      </c>
      <c r="D14" s="29" t="n">
        <v>1.25</v>
      </c>
      <c r="F14" s="25" t="s">
        <v>54</v>
      </c>
    </row>
    <row r="15" customFormat="false" ht="15.75" hidden="false" customHeight="true" outlineLevel="0" collapsed="false">
      <c r="A15" s="5" t="s">
        <v>55</v>
      </c>
      <c r="B15" s="23" t="s">
        <v>53</v>
      </c>
      <c r="C15" s="29" t="n">
        <v>1.1</v>
      </c>
      <c r="D15" s="29" t="n">
        <v>1.2</v>
      </c>
      <c r="F15" s="25" t="s">
        <v>56</v>
      </c>
    </row>
    <row r="16" customFormat="false" ht="27.75" hidden="false" customHeight="true" outlineLevel="0" collapsed="false">
      <c r="A16" s="5" t="s">
        <v>57</v>
      </c>
      <c r="B16" s="23" t="s">
        <v>53</v>
      </c>
      <c r="C16" s="29" t="n">
        <v>1.2</v>
      </c>
      <c r="D16" s="29" t="n">
        <v>1.7</v>
      </c>
      <c r="F16" s="25" t="s">
        <v>58</v>
      </c>
    </row>
    <row r="17" customFormat="false" ht="15.75" hidden="false" customHeight="true" outlineLevel="0" collapsed="false">
      <c r="A17" s="5" t="s">
        <v>59</v>
      </c>
      <c r="B17" s="23" t="s">
        <v>60</v>
      </c>
      <c r="C17" s="29" t="n">
        <v>4.3</v>
      </c>
      <c r="D17" s="29" t="n">
        <v>4.4</v>
      </c>
      <c r="F17" s="25" t="s">
        <v>61</v>
      </c>
    </row>
    <row r="18" customFormat="false" ht="15.75" hidden="false" customHeight="true" outlineLevel="0" collapsed="false"/>
    <row r="19" customFormat="false" ht="15.75" hidden="false" customHeight="true" outlineLevel="0" collapsed="false">
      <c r="A19" s="5" t="s">
        <v>62</v>
      </c>
      <c r="B19" s="23" t="s">
        <v>42</v>
      </c>
      <c r="C19" s="30" t="n">
        <v>0.15</v>
      </c>
      <c r="F19" s="25" t="s">
        <v>63</v>
      </c>
    </row>
    <row r="20" customFormat="false" ht="15.75" hidden="false" customHeight="true" outlineLevel="0" collapsed="false"/>
    <row r="21" customFormat="false" ht="15.75" hidden="false" customHeight="true" outlineLevel="0" collapsed="false">
      <c r="A21" s="13" t="s">
        <v>64</v>
      </c>
    </row>
    <row r="22" customFormat="false" ht="15.75" hidden="false" customHeight="true" outlineLevel="0" collapsed="false">
      <c r="A22" s="2" t="s">
        <v>65</v>
      </c>
    </row>
    <row r="23" customFormat="false" ht="15.75" hidden="false" customHeight="true" outlineLevel="0" collapsed="false">
      <c r="A23" s="3" t="s">
        <v>15</v>
      </c>
      <c r="B23" s="4" t="s">
        <v>66</v>
      </c>
      <c r="C23" s="4" t="s">
        <v>67</v>
      </c>
      <c r="D23" s="4" t="s">
        <v>68</v>
      </c>
      <c r="E23" s="4" t="s">
        <v>69</v>
      </c>
      <c r="F23" s="4" t="s">
        <v>70</v>
      </c>
      <c r="G23" s="4" t="s">
        <v>71</v>
      </c>
    </row>
    <row r="24" customFormat="false" ht="15.75" hidden="false" customHeight="true" outlineLevel="0" collapsed="false">
      <c r="A24" s="5" t="s">
        <v>72</v>
      </c>
      <c r="B24" s="24" t="n">
        <v>5</v>
      </c>
      <c r="C24" s="31" t="n">
        <v>4</v>
      </c>
      <c r="D24" s="31" t="n">
        <v>3</v>
      </c>
      <c r="E24" s="32" t="s">
        <v>73</v>
      </c>
      <c r="F24" s="25" t="s">
        <v>74</v>
      </c>
      <c r="G24" s="31" t="n">
        <v>1</v>
      </c>
    </row>
    <row r="25" customFormat="false" ht="15.75" hidden="false" customHeight="true" outlineLevel="0" collapsed="false">
      <c r="A25" s="5" t="s">
        <v>75</v>
      </c>
      <c r="B25" s="24" t="n">
        <v>70</v>
      </c>
      <c r="C25" s="31" t="n">
        <v>11</v>
      </c>
      <c r="D25" s="31" t="n">
        <v>10</v>
      </c>
      <c r="E25" s="32" t="s">
        <v>73</v>
      </c>
      <c r="F25" s="25" t="s">
        <v>76</v>
      </c>
      <c r="G25" s="31" t="n">
        <v>25</v>
      </c>
    </row>
    <row r="26" customFormat="false" ht="15.75" hidden="false" customHeight="true" outlineLevel="0" collapsed="false">
      <c r="A26" s="5" t="s">
        <v>77</v>
      </c>
      <c r="B26" s="24" t="n">
        <v>135</v>
      </c>
      <c r="C26" s="31" t="n">
        <v>10</v>
      </c>
      <c r="D26" s="31" t="n">
        <v>9</v>
      </c>
      <c r="E26" s="32" t="s">
        <v>73</v>
      </c>
      <c r="F26" s="25" t="s">
        <v>76</v>
      </c>
      <c r="G26" s="31" t="n">
        <v>50</v>
      </c>
    </row>
    <row r="27" customFormat="false" ht="15.75" hidden="false" customHeight="true" outlineLevel="0" collapsed="false">
      <c r="A27" s="5" t="s">
        <v>78</v>
      </c>
      <c r="B27" s="24" t="n">
        <v>280</v>
      </c>
      <c r="C27" s="31" t="n">
        <v>7</v>
      </c>
      <c r="D27" s="31" t="n">
        <v>9</v>
      </c>
      <c r="E27" s="32" t="s">
        <v>73</v>
      </c>
      <c r="F27" s="25" t="s">
        <v>79</v>
      </c>
      <c r="G27" s="31" t="n">
        <v>100</v>
      </c>
    </row>
    <row r="28" customFormat="false" ht="15.75" hidden="false" customHeight="true" outlineLevel="0" collapsed="false">
      <c r="A28" s="5" t="s">
        <v>80</v>
      </c>
      <c r="B28" s="24" t="n">
        <v>198</v>
      </c>
      <c r="C28" s="31" t="n">
        <v>8</v>
      </c>
      <c r="D28" s="31" t="n">
        <v>9</v>
      </c>
      <c r="E28" s="32" t="s">
        <v>81</v>
      </c>
      <c r="F28" s="25" t="s">
        <v>82</v>
      </c>
      <c r="G28" s="31" t="n">
        <v>0</v>
      </c>
    </row>
    <row r="29" customFormat="false" ht="15.75" hidden="false" customHeight="true" outlineLevel="0" collapsed="false">
      <c r="A29" s="5" t="s">
        <v>83</v>
      </c>
      <c r="B29" s="24" t="n">
        <v>497</v>
      </c>
      <c r="C29" s="31" t="n">
        <v>10</v>
      </c>
      <c r="D29" s="31" t="n">
        <v>11</v>
      </c>
      <c r="E29" s="32" t="s">
        <v>81</v>
      </c>
      <c r="F29" s="25" t="s">
        <v>84</v>
      </c>
      <c r="G29" s="31" t="n">
        <v>0</v>
      </c>
    </row>
    <row r="30" customFormat="false" ht="15.75" hidden="false" customHeight="true" outlineLevel="0" collapsed="false">
      <c r="A30" s="5" t="s">
        <v>85</v>
      </c>
      <c r="B30" s="24" t="n">
        <v>397</v>
      </c>
      <c r="C30" s="31" t="n">
        <v>8</v>
      </c>
      <c r="D30" s="31" t="n">
        <v>11</v>
      </c>
      <c r="E30" s="32" t="s">
        <v>81</v>
      </c>
      <c r="F30" s="25" t="s">
        <v>86</v>
      </c>
      <c r="G30" s="31" t="n">
        <v>0</v>
      </c>
    </row>
    <row r="31" customFormat="false" ht="15.75" hidden="false" customHeight="true" outlineLevel="0" collapsed="false">
      <c r="A31" s="5" t="s">
        <v>87</v>
      </c>
      <c r="B31" s="24" t="n">
        <v>250</v>
      </c>
      <c r="C31" s="31" t="n">
        <v>4</v>
      </c>
      <c r="D31" s="31" t="n">
        <v>5</v>
      </c>
      <c r="E31" s="32" t="s">
        <v>81</v>
      </c>
      <c r="F31" s="25" t="s">
        <v>88</v>
      </c>
      <c r="G31" s="31" t="n">
        <v>0</v>
      </c>
    </row>
    <row r="32" customFormat="false" ht="15.75" hidden="false" customHeight="true" outlineLevel="0" collapsed="false">
      <c r="A32" s="5" t="s">
        <v>89</v>
      </c>
      <c r="B32" s="24" t="n">
        <v>424</v>
      </c>
      <c r="C32" s="31" t="n">
        <v>10</v>
      </c>
      <c r="D32" s="31" t="n">
        <v>6</v>
      </c>
      <c r="E32" s="32" t="s">
        <v>81</v>
      </c>
      <c r="F32" s="25" t="s">
        <v>90</v>
      </c>
      <c r="G32" s="31" t="n">
        <v>0</v>
      </c>
    </row>
    <row r="33" customFormat="false" ht="15.75" hidden="false" customHeight="true" outlineLevel="0" collapsed="false">
      <c r="A33" s="5" t="s">
        <v>91</v>
      </c>
      <c r="B33" s="27" t="n">
        <v>600</v>
      </c>
      <c r="C33" s="31" t="n">
        <v>3</v>
      </c>
      <c r="D33" s="31" t="n">
        <v>3</v>
      </c>
      <c r="E33" s="32" t="s">
        <v>81</v>
      </c>
      <c r="F33" s="25" t="s">
        <v>92</v>
      </c>
      <c r="G33" s="31" t="n">
        <v>0</v>
      </c>
    </row>
    <row r="34" customFormat="false" ht="15.75" hidden="false" customHeight="true" outlineLevel="0" collapsed="false">
      <c r="A34" s="5" t="s">
        <v>93</v>
      </c>
      <c r="B34" s="24" t="n">
        <v>185</v>
      </c>
      <c r="C34" s="31" t="n">
        <v>6</v>
      </c>
      <c r="D34" s="31" t="n">
        <v>8</v>
      </c>
      <c r="E34" s="32" t="s">
        <v>73</v>
      </c>
      <c r="F34" s="25" t="s">
        <v>94</v>
      </c>
      <c r="G34" s="31" t="n">
        <v>0</v>
      </c>
    </row>
    <row r="35" customFormat="false" ht="27.75" hidden="false" customHeight="true" outlineLevel="0" collapsed="false">
      <c r="A35" s="5" t="s">
        <v>95</v>
      </c>
      <c r="B35" s="24" t="n">
        <v>269</v>
      </c>
      <c r="C35" s="31" t="n">
        <v>3</v>
      </c>
      <c r="D35" s="31" t="n">
        <v>2</v>
      </c>
      <c r="E35" s="32" t="s">
        <v>73</v>
      </c>
      <c r="F35" s="25" t="s">
        <v>96</v>
      </c>
      <c r="G35" s="31" t="n">
        <v>0</v>
      </c>
    </row>
    <row r="36" customFormat="false" ht="15.75" hidden="false" customHeight="true" outlineLevel="0" collapsed="false">
      <c r="A36" s="5" t="s">
        <v>97</v>
      </c>
      <c r="B36" s="27" t="n">
        <v>900</v>
      </c>
      <c r="C36" s="31" t="n">
        <v>10</v>
      </c>
      <c r="D36" s="31" t="n">
        <v>12</v>
      </c>
      <c r="E36" s="32" t="s">
        <v>81</v>
      </c>
      <c r="F36" s="25" t="s">
        <v>98</v>
      </c>
      <c r="G36" s="31" t="n">
        <v>0</v>
      </c>
    </row>
    <row r="37" customFormat="false" ht="15.75" hidden="false" customHeight="true" outlineLevel="0" collapsed="false">
      <c r="A37" s="17" t="s">
        <v>99</v>
      </c>
      <c r="B37" s="19"/>
      <c r="C37" s="33" t="n">
        <f aca="false">SUM(C24:C36)</f>
        <v>94</v>
      </c>
      <c r="D37" s="33" t="n">
        <f aca="false">SUM(D24:D36)</f>
        <v>98</v>
      </c>
      <c r="E37" s="19"/>
      <c r="F37" s="19"/>
      <c r="G37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80"/>
  </cols>
  <sheetData>
    <row r="1" customFormat="false" ht="19.7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31.5" hidden="false" customHeight="true" outlineLevel="0" collapsed="false">
      <c r="A4" s="3" t="s">
        <v>102</v>
      </c>
      <c r="B4" s="4" t="s">
        <v>103</v>
      </c>
      <c r="C4" s="4" t="s">
        <v>32</v>
      </c>
      <c r="D4" s="4"/>
      <c r="E4" s="4" t="s">
        <v>33</v>
      </c>
    </row>
    <row r="5" customFormat="false" ht="15.75" hidden="false" customHeight="true" outlineLevel="0" collapsed="false">
      <c r="A5" s="5" t="s">
        <v>104</v>
      </c>
      <c r="B5" s="31" t="n">
        <v>130911314</v>
      </c>
      <c r="C5" s="23" t="s">
        <v>105</v>
      </c>
      <c r="E5" s="25" t="s">
        <v>106</v>
      </c>
    </row>
    <row r="6" customFormat="false" ht="27.75" hidden="false" customHeight="true" outlineLevel="0" collapsed="false">
      <c r="A6" s="5" t="s">
        <v>107</v>
      </c>
      <c r="B6" s="29" t="n">
        <v>3.4</v>
      </c>
      <c r="C6" s="23" t="s">
        <v>105</v>
      </c>
      <c r="E6" s="25" t="s">
        <v>108</v>
      </c>
    </row>
    <row r="7" customFormat="false" ht="15" hidden="false" customHeight="false" outlineLevel="0" collapsed="false">
      <c r="A7" s="5" t="s">
        <v>109</v>
      </c>
      <c r="B7" s="34" t="n">
        <f aca="false">B5/B6</f>
        <v>38503327.6470588</v>
      </c>
      <c r="C7" s="23" t="s">
        <v>110</v>
      </c>
      <c r="E7" s="25" t="s">
        <v>111</v>
      </c>
    </row>
    <row r="8" customFormat="false" ht="27.75" hidden="false" customHeight="true" outlineLevel="0" collapsed="false">
      <c r="A8" s="5" t="s">
        <v>112</v>
      </c>
      <c r="B8" s="24" t="n">
        <v>6359</v>
      </c>
      <c r="C8" s="23" t="s">
        <v>35</v>
      </c>
      <c r="E8" s="25" t="s">
        <v>113</v>
      </c>
    </row>
    <row r="9" customFormat="false" ht="15.75" hidden="false" customHeight="true" outlineLevel="0" collapsed="false">
      <c r="A9" s="20" t="s">
        <v>114</v>
      </c>
      <c r="B9" s="35" t="n">
        <f aca="false">B7*B8</f>
        <v>244842660507.647</v>
      </c>
      <c r="C9" s="23" t="s">
        <v>35</v>
      </c>
      <c r="E9" s="25" t="s">
        <v>115</v>
      </c>
    </row>
    <row r="10" customFormat="false" ht="27.75" hidden="false" customHeight="true" outlineLevel="0" collapsed="false">
      <c r="A10" s="5" t="s">
        <v>116</v>
      </c>
      <c r="B10" s="30" t="n">
        <v>0.3</v>
      </c>
      <c r="C10" s="23" t="s">
        <v>42</v>
      </c>
      <c r="E10" s="25" t="s">
        <v>117</v>
      </c>
    </row>
    <row r="11" customFormat="false" ht="15.75" hidden="false" customHeight="true" outlineLevel="0" collapsed="false">
      <c r="A11" s="5" t="s">
        <v>118</v>
      </c>
      <c r="B11" s="35" t="n">
        <f aca="false">B9*B10</f>
        <v>73452798152.2941</v>
      </c>
      <c r="C11" s="23" t="s">
        <v>35</v>
      </c>
      <c r="E11" s="25" t="s">
        <v>111</v>
      </c>
    </row>
    <row r="12" customFormat="false" ht="27.75" hidden="false" customHeight="true" outlineLevel="0" collapsed="false">
      <c r="A12" s="5" t="s">
        <v>119</v>
      </c>
      <c r="B12" s="30" t="n">
        <v>0.015</v>
      </c>
      <c r="C12" s="23" t="s">
        <v>42</v>
      </c>
      <c r="E12" s="25" t="s">
        <v>120</v>
      </c>
    </row>
    <row r="13" customFormat="false" ht="15.75" hidden="false" customHeight="true" outlineLevel="0" collapsed="false">
      <c r="A13" s="20" t="s">
        <v>121</v>
      </c>
      <c r="B13" s="35" t="n">
        <f aca="false">B11*B12</f>
        <v>1101791972.28441</v>
      </c>
      <c r="C13" s="23" t="s">
        <v>35</v>
      </c>
      <c r="E13" s="25" t="s">
        <v>111</v>
      </c>
    </row>
    <row r="15" customFormat="false" ht="15" hidden="false" customHeight="false" outlineLevel="0" collapsed="false">
      <c r="A15" s="13" t="s">
        <v>122</v>
      </c>
    </row>
    <row r="16" customFormat="false" ht="15.75" hidden="false" customHeight="true" outlineLevel="0" collapsed="false">
      <c r="A16" s="5" t="s">
        <v>123</v>
      </c>
      <c r="B16" s="24" t="n">
        <v>941000000000</v>
      </c>
      <c r="C16" s="23" t="s">
        <v>35</v>
      </c>
      <c r="E16" s="25" t="s">
        <v>124</v>
      </c>
    </row>
    <row r="17" customFormat="false" ht="15" hidden="false" customHeight="false" outlineLevel="0" collapsed="false">
      <c r="A17" s="5" t="s">
        <v>125</v>
      </c>
      <c r="B17" s="31" t="n">
        <v>77200000</v>
      </c>
      <c r="C17" s="23" t="s">
        <v>105</v>
      </c>
      <c r="E17" s="25" t="s">
        <v>126</v>
      </c>
    </row>
    <row r="18" customFormat="false" ht="15" hidden="false" customHeight="false" outlineLevel="0" collapsed="false">
      <c r="A18" s="5" t="s">
        <v>127</v>
      </c>
      <c r="B18" s="35" t="n">
        <f aca="false">B16/B17</f>
        <v>12189.1191709845</v>
      </c>
      <c r="C18" s="23" t="s">
        <v>35</v>
      </c>
      <c r="E18" s="25" t="s">
        <v>111</v>
      </c>
    </row>
    <row r="19" customFormat="false" ht="15.75" hidden="false" customHeight="true" outlineLevel="0" collapsed="false">
      <c r="A19" s="5" t="s">
        <v>128</v>
      </c>
      <c r="B19" s="24" t="n">
        <v>219000000000</v>
      </c>
      <c r="C19" s="23" t="s">
        <v>35</v>
      </c>
      <c r="E19" s="25" t="s">
        <v>129</v>
      </c>
    </row>
    <row r="20" customFormat="false" ht="15.75" hidden="false" customHeight="true" outlineLevel="0" collapsed="false">
      <c r="A20" s="5" t="s">
        <v>130</v>
      </c>
      <c r="B20" s="24" t="n">
        <v>45900000000</v>
      </c>
      <c r="C20" s="23" t="s">
        <v>35</v>
      </c>
      <c r="E20" s="25" t="s">
        <v>131</v>
      </c>
    </row>
    <row r="21" customFormat="false" ht="15" hidden="false" customHeight="false" outlineLevel="0" collapsed="false">
      <c r="A21" s="5" t="s">
        <v>132</v>
      </c>
      <c r="B21" s="24" t="n">
        <v>1100</v>
      </c>
      <c r="C21" s="23" t="s">
        <v>35</v>
      </c>
      <c r="E21" s="25" t="s">
        <v>133</v>
      </c>
    </row>
    <row r="23" customFormat="false" ht="15" hidden="false" customHeight="false" outlineLevel="0" collapsed="false">
      <c r="A23" s="13" t="s">
        <v>134</v>
      </c>
    </row>
    <row r="24" customFormat="false" ht="31.5" hidden="false" customHeight="true" outlineLevel="0" collapsed="false">
      <c r="A24" s="3" t="s">
        <v>135</v>
      </c>
      <c r="B24" s="4" t="s">
        <v>3</v>
      </c>
      <c r="C24" s="4" t="s">
        <v>4</v>
      </c>
      <c r="D24" s="4" t="s">
        <v>5</v>
      </c>
    </row>
    <row r="25" customFormat="false" ht="15" hidden="false" customHeight="false" outlineLevel="0" collapsed="false">
      <c r="A25" s="5" t="s">
        <v>136</v>
      </c>
      <c r="B25" s="6" t="n">
        <f aca="false">Demanda!C35</f>
        <v>22008.1075098814</v>
      </c>
      <c r="C25" s="6" t="n">
        <f aca="false">Demanda!D35</f>
        <v>52482.2179028133</v>
      </c>
      <c r="D25" s="6" t="n">
        <f aca="false">Demanda!E35</f>
        <v>118663.334161491</v>
      </c>
    </row>
    <row r="26" customFormat="false" ht="15" hidden="false" customHeight="false" outlineLevel="0" collapsed="false">
      <c r="A26" s="5" t="s">
        <v>137</v>
      </c>
      <c r="B26" s="36" t="n">
        <f aca="false">B25/$B$5</f>
        <v>0.000168114633009347</v>
      </c>
      <c r="C26" s="36" t="n">
        <f aca="false">C25/$B$5</f>
        <v>0.000400899023157107</v>
      </c>
      <c r="D26" s="36" t="n">
        <f aca="false">D25/$B$5</f>
        <v>0.000906440631720271</v>
      </c>
    </row>
    <row r="27" customFormat="false" ht="15" hidden="false" customHeight="false" outlineLevel="0" collapsed="false">
      <c r="A27" s="5" t="s">
        <v>138</v>
      </c>
      <c r="B27" s="37" t="n">
        <f aca="false">B25/$B$13</f>
        <v>1.99748301526019E-005</v>
      </c>
      <c r="C27" s="37" t="n">
        <f aca="false">C25/$B$13</f>
        <v>4.76335090679584E-005</v>
      </c>
      <c r="D27" s="37" t="n">
        <f aca="false">D25/$B$13</f>
        <v>0.00010770030745047</v>
      </c>
    </row>
    <row r="28" customFormat="false" ht="15" hidden="false" customHeight="false" outlineLevel="0" collapsed="false">
      <c r="A28" s="5" t="s">
        <v>139</v>
      </c>
      <c r="B28" s="35" t="n">
        <f aca="false">B27*1000000</f>
        <v>19.9748301526019</v>
      </c>
      <c r="C28" s="35" t="n">
        <f aca="false">C27*1000000</f>
        <v>47.6335090679584</v>
      </c>
      <c r="D28" s="35" t="n">
        <f aca="false">D27*1000000</f>
        <v>107.70030745047</v>
      </c>
    </row>
    <row r="30" customFormat="false" ht="30" hidden="false" customHeight="true" outlineLevel="0" collapsed="false">
      <c r="A30" s="38" t="s">
        <v>140</v>
      </c>
      <c r="B30" s="38"/>
      <c r="C30" s="38"/>
      <c r="D30" s="38"/>
      <c r="E30" s="38"/>
    </row>
  </sheetData>
  <mergeCells count="1"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5" min="3" style="0" width="16"/>
  </cols>
  <sheetData>
    <row r="1" customFormat="false" ht="19.7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4" customFormat="false" ht="31.5" hidden="false" customHeight="true" outlineLevel="0" collapsed="false">
      <c r="A4" s="3" t="s">
        <v>143</v>
      </c>
      <c r="B4" s="4" t="s">
        <v>32</v>
      </c>
      <c r="C4" s="4" t="s">
        <v>3</v>
      </c>
      <c r="D4" s="4" t="s">
        <v>4</v>
      </c>
      <c r="E4" s="4" t="s">
        <v>5</v>
      </c>
    </row>
    <row r="5" customFormat="false" ht="15" hidden="false" customHeight="false" outlineLevel="0" collapsed="false">
      <c r="A5" s="39" t="s">
        <v>144</v>
      </c>
      <c r="B5" s="19"/>
      <c r="C5" s="19"/>
      <c r="D5" s="19"/>
      <c r="E5" s="19"/>
    </row>
    <row r="6" customFormat="false" ht="15" hidden="false" customHeight="false" outlineLevel="0" collapsed="false">
      <c r="A6" s="5" t="s">
        <v>10</v>
      </c>
      <c r="B6" s="23" t="s">
        <v>35</v>
      </c>
      <c r="C6" s="6" t="n">
        <f aca="false">Supuestos!C5</f>
        <v>4000</v>
      </c>
      <c r="D6" s="6" t="n">
        <f aca="false">Supuestos!D5</f>
        <v>6000</v>
      </c>
      <c r="E6" s="6" t="n">
        <f aca="false">Supuestos!E5</f>
        <v>9000</v>
      </c>
    </row>
    <row r="7" customFormat="false" ht="15" hidden="false" customHeight="false" outlineLevel="0" collapsed="false">
      <c r="A7" s="5" t="s">
        <v>145</v>
      </c>
      <c r="B7" s="23" t="s">
        <v>35</v>
      </c>
      <c r="C7" s="40" t="n">
        <f aca="false">Supuestos!C7*Supuestos!$C$14</f>
        <v>126.5</v>
      </c>
      <c r="D7" s="40" t="n">
        <f aca="false">Supuestos!D7*Supuestos!$C$14</f>
        <v>97.75</v>
      </c>
      <c r="E7" s="40" t="n">
        <f aca="false">Supuestos!E7*Supuestos!$C$14</f>
        <v>80.5</v>
      </c>
    </row>
    <row r="8" customFormat="false" ht="15" hidden="false" customHeight="false" outlineLevel="0" collapsed="false">
      <c r="A8" s="5" t="s">
        <v>146</v>
      </c>
      <c r="B8" s="23" t="s">
        <v>147</v>
      </c>
      <c r="C8" s="34" t="n">
        <f aca="false">C6/C7*1000</f>
        <v>31620.5533596838</v>
      </c>
      <c r="D8" s="34" t="n">
        <f aca="false">D6/D7*1000</f>
        <v>61381.074168798</v>
      </c>
      <c r="E8" s="34" t="n">
        <f aca="false">E6/E7*1000</f>
        <v>111801.242236025</v>
      </c>
    </row>
    <row r="9" customFormat="false" ht="15" hidden="false" customHeight="false" outlineLevel="0" collapsed="false">
      <c r="A9" s="5" t="s">
        <v>148</v>
      </c>
      <c r="B9" s="23" t="s">
        <v>149</v>
      </c>
      <c r="C9" s="34" t="n">
        <f aca="false">C8*Supuestos!C8</f>
        <v>252.96442687747</v>
      </c>
      <c r="D9" s="34" t="n">
        <f aca="false">D8*Supuestos!D8</f>
        <v>736.572890025576</v>
      </c>
      <c r="E9" s="34" t="n">
        <f aca="false">E8*Supuestos!E8</f>
        <v>1788.8198757764</v>
      </c>
    </row>
    <row r="10" customFormat="false" ht="15" hidden="false" customHeight="false" outlineLevel="0" collapsed="false">
      <c r="A10" s="5" t="s">
        <v>150</v>
      </c>
      <c r="B10" s="23" t="s">
        <v>42</v>
      </c>
      <c r="C10" s="41" t="n">
        <f aca="false">Supuestos!C9*Supuestos!$C$15</f>
        <v>0.011</v>
      </c>
      <c r="D10" s="41" t="n">
        <f aca="false">Supuestos!D9*Supuestos!$C$15</f>
        <v>0.0165</v>
      </c>
      <c r="E10" s="41" t="n">
        <f aca="false">Supuestos!E9*Supuestos!$C$15</f>
        <v>0.0242</v>
      </c>
    </row>
    <row r="11" customFormat="false" ht="15" hidden="false" customHeight="false" outlineLevel="0" collapsed="false">
      <c r="A11" s="5" t="s">
        <v>151</v>
      </c>
      <c r="B11" s="23" t="s">
        <v>49</v>
      </c>
      <c r="C11" s="42" t="n">
        <f aca="false">C9*C10</f>
        <v>2.78260869565217</v>
      </c>
      <c r="D11" s="42" t="n">
        <f aca="false">D9*D10</f>
        <v>12.153452685422</v>
      </c>
      <c r="E11" s="42" t="n">
        <f aca="false">E9*E10</f>
        <v>43.2894409937888</v>
      </c>
    </row>
    <row r="12" customFormat="false" ht="15" hidden="false" customHeight="false" outlineLevel="0" collapsed="false">
      <c r="A12" s="5" t="s">
        <v>152</v>
      </c>
      <c r="B12" s="23" t="s">
        <v>49</v>
      </c>
      <c r="C12" s="42" t="n">
        <f aca="false">Supuestos!C11*Supuestos!$C$17*Supuestos!$C$16</f>
        <v>25.8</v>
      </c>
      <c r="D12" s="42" t="n">
        <f aca="false">Supuestos!D11*Supuestos!$C$17*Supuestos!$C$16</f>
        <v>46.44</v>
      </c>
      <c r="E12" s="42" t="n">
        <f aca="false">Supuestos!E11*Supuestos!$C$17*Supuestos!$C$16</f>
        <v>72.24</v>
      </c>
    </row>
    <row r="13" customFormat="false" ht="15" hidden="false" customHeight="false" outlineLevel="0" collapsed="false">
      <c r="A13" s="5" t="s">
        <v>9</v>
      </c>
      <c r="B13" s="23" t="s">
        <v>49</v>
      </c>
      <c r="C13" s="42" t="n">
        <f aca="false">C11+C12</f>
        <v>28.5826086956522</v>
      </c>
      <c r="D13" s="42" t="n">
        <f aca="false">D11+D12</f>
        <v>58.593452685422</v>
      </c>
      <c r="E13" s="42" t="n">
        <f aca="false">E11+E12</f>
        <v>115.529440993789</v>
      </c>
    </row>
    <row r="14" customFormat="false" ht="15" hidden="false" customHeight="false" outlineLevel="0" collapsed="false">
      <c r="A14" s="5" t="s">
        <v>153</v>
      </c>
      <c r="B14" s="23" t="s">
        <v>35</v>
      </c>
      <c r="C14" s="35" t="n">
        <f aca="false">C11*Supuestos!C10</f>
        <v>890.434782608696</v>
      </c>
      <c r="D14" s="35" t="n">
        <f aca="false">D11*Supuestos!D10</f>
        <v>4618.31202046036</v>
      </c>
      <c r="E14" s="35" t="n">
        <f aca="false">E11*Supuestos!E10</f>
        <v>19480.248447205</v>
      </c>
    </row>
    <row r="15" customFormat="false" ht="15" hidden="false" customHeight="false" outlineLevel="0" collapsed="false">
      <c r="A15" s="5" t="s">
        <v>154</v>
      </c>
      <c r="B15" s="23" t="s">
        <v>35</v>
      </c>
      <c r="C15" s="35" t="n">
        <f aca="false">C12*Supuestos!C10</f>
        <v>8256</v>
      </c>
      <c r="D15" s="35" t="n">
        <f aca="false">D12*Supuestos!D10</f>
        <v>17647.2</v>
      </c>
      <c r="E15" s="35" t="n">
        <f aca="false">E12*Supuestos!E10</f>
        <v>32508</v>
      </c>
    </row>
    <row r="16" customFormat="false" ht="15" hidden="false" customHeight="false" outlineLevel="0" collapsed="false">
      <c r="A16" s="7" t="s">
        <v>155</v>
      </c>
      <c r="B16" s="43" t="s">
        <v>35</v>
      </c>
      <c r="C16" s="8" t="n">
        <f aca="false">C14+C15</f>
        <v>9146.4347826087</v>
      </c>
      <c r="D16" s="8" t="n">
        <f aca="false">D14+D15</f>
        <v>22265.5120204604</v>
      </c>
      <c r="E16" s="8" t="n">
        <f aca="false">E14+E15</f>
        <v>51988.248447205</v>
      </c>
    </row>
    <row r="17" customFormat="false" ht="15" hidden="false" customHeight="false" outlineLevel="0" collapsed="false">
      <c r="A17" s="5" t="s">
        <v>156</v>
      </c>
      <c r="B17" s="23" t="s">
        <v>53</v>
      </c>
      <c r="C17" s="10" t="n">
        <f aca="false">IFERROR(C14/C6,0)</f>
        <v>0.222608695652174</v>
      </c>
      <c r="D17" s="10" t="n">
        <f aca="false">IFERROR(D14/D6,0)</f>
        <v>0.769718670076727</v>
      </c>
      <c r="E17" s="10" t="n">
        <f aca="false">IFERROR(E14/E6,0)</f>
        <v>2.16447204968944</v>
      </c>
    </row>
    <row r="20" customFormat="false" ht="15" hidden="false" customHeight="false" outlineLevel="0" collapsed="false">
      <c r="A20" s="39" t="s">
        <v>157</v>
      </c>
      <c r="B20" s="19"/>
      <c r="C20" s="19"/>
      <c r="D20" s="19"/>
      <c r="E20" s="19"/>
    </row>
    <row r="21" customFormat="false" ht="15" hidden="false" customHeight="false" outlineLevel="0" collapsed="false">
      <c r="A21" s="5" t="s">
        <v>10</v>
      </c>
      <c r="B21" s="23" t="s">
        <v>35</v>
      </c>
      <c r="C21" s="6" t="n">
        <f aca="false">Supuestos!C6</f>
        <v>4000</v>
      </c>
      <c r="D21" s="6" t="n">
        <f aca="false">Supuestos!D6</f>
        <v>6000</v>
      </c>
      <c r="E21" s="6" t="n">
        <f aca="false">Supuestos!E6</f>
        <v>9000</v>
      </c>
    </row>
    <row r="22" customFormat="false" ht="15" hidden="false" customHeight="false" outlineLevel="0" collapsed="false">
      <c r="A22" s="5" t="s">
        <v>145</v>
      </c>
      <c r="B22" s="23" t="s">
        <v>35</v>
      </c>
      <c r="C22" s="40" t="n">
        <f aca="false">Supuestos!C7*Supuestos!$D$14</f>
        <v>137.5</v>
      </c>
      <c r="D22" s="40" t="n">
        <f aca="false">Supuestos!D7*Supuestos!$D$14</f>
        <v>106.25</v>
      </c>
      <c r="E22" s="40" t="n">
        <f aca="false">Supuestos!E7*Supuestos!$D$14</f>
        <v>87.5</v>
      </c>
    </row>
    <row r="23" customFormat="false" ht="15" hidden="false" customHeight="false" outlineLevel="0" collapsed="false">
      <c r="A23" s="5" t="s">
        <v>146</v>
      </c>
      <c r="B23" s="23" t="s">
        <v>147</v>
      </c>
      <c r="C23" s="34" t="n">
        <f aca="false">C21/C22*1000</f>
        <v>29090.9090909091</v>
      </c>
      <c r="D23" s="34" t="n">
        <f aca="false">D21/D22*1000</f>
        <v>56470.5882352941</v>
      </c>
      <c r="E23" s="34" t="n">
        <f aca="false">E21/E22*1000</f>
        <v>102857.142857143</v>
      </c>
    </row>
    <row r="24" customFormat="false" ht="15" hidden="false" customHeight="false" outlineLevel="0" collapsed="false">
      <c r="A24" s="5" t="s">
        <v>148</v>
      </c>
      <c r="B24" s="23" t="s">
        <v>149</v>
      </c>
      <c r="C24" s="34" t="n">
        <f aca="false">C23*Supuestos!C8</f>
        <v>232.727272727273</v>
      </c>
      <c r="D24" s="34" t="n">
        <f aca="false">D23*Supuestos!D8</f>
        <v>677.647058823529</v>
      </c>
      <c r="E24" s="34" t="n">
        <f aca="false">E23*Supuestos!E8</f>
        <v>1645.71428571429</v>
      </c>
    </row>
    <row r="25" customFormat="false" ht="15" hidden="false" customHeight="false" outlineLevel="0" collapsed="false">
      <c r="A25" s="5" t="s">
        <v>150</v>
      </c>
      <c r="B25" s="23" t="s">
        <v>42</v>
      </c>
      <c r="C25" s="41" t="n">
        <f aca="false">Supuestos!C9*Supuestos!$D$15</f>
        <v>0.012</v>
      </c>
      <c r="D25" s="41" t="n">
        <f aca="false">Supuestos!D9*Supuestos!$D$15</f>
        <v>0.018</v>
      </c>
      <c r="E25" s="41" t="n">
        <f aca="false">Supuestos!E9*Supuestos!$D$15</f>
        <v>0.0264</v>
      </c>
    </row>
    <row r="26" customFormat="false" ht="15" hidden="false" customHeight="false" outlineLevel="0" collapsed="false">
      <c r="A26" s="5" t="s">
        <v>151</v>
      </c>
      <c r="B26" s="23" t="s">
        <v>49</v>
      </c>
      <c r="C26" s="42" t="n">
        <f aca="false">C24*C25</f>
        <v>2.79272727272727</v>
      </c>
      <c r="D26" s="42" t="n">
        <f aca="false">D24*D25</f>
        <v>12.1976470588235</v>
      </c>
      <c r="E26" s="42" t="n">
        <f aca="false">E24*E25</f>
        <v>43.4468571428571</v>
      </c>
    </row>
    <row r="27" customFormat="false" ht="15" hidden="false" customHeight="false" outlineLevel="0" collapsed="false">
      <c r="A27" s="5" t="s">
        <v>152</v>
      </c>
      <c r="B27" s="23" t="s">
        <v>49</v>
      </c>
      <c r="C27" s="42" t="n">
        <f aca="false">Supuestos!C11*Supuestos!$D$17*Supuestos!$D$16</f>
        <v>37.4</v>
      </c>
      <c r="D27" s="42" t="n">
        <f aca="false">Supuestos!D11*Supuestos!$D$17*Supuestos!$D$16</f>
        <v>67.32</v>
      </c>
      <c r="E27" s="42" t="n">
        <f aca="false">Supuestos!E11*Supuestos!$D$17*Supuestos!$D$16</f>
        <v>104.72</v>
      </c>
    </row>
    <row r="28" customFormat="false" ht="15" hidden="false" customHeight="false" outlineLevel="0" collapsed="false">
      <c r="A28" s="5" t="s">
        <v>9</v>
      </c>
      <c r="B28" s="23" t="s">
        <v>49</v>
      </c>
      <c r="C28" s="42" t="n">
        <f aca="false">C26+C27</f>
        <v>40.1927272727273</v>
      </c>
      <c r="D28" s="42" t="n">
        <f aca="false">D26+D27</f>
        <v>79.5176470588235</v>
      </c>
      <c r="E28" s="42" t="n">
        <f aca="false">E26+E27</f>
        <v>148.166857142857</v>
      </c>
    </row>
    <row r="29" customFormat="false" ht="15" hidden="false" customHeight="false" outlineLevel="0" collapsed="false">
      <c r="A29" s="5" t="s">
        <v>153</v>
      </c>
      <c r="B29" s="23" t="s">
        <v>35</v>
      </c>
      <c r="C29" s="35" t="n">
        <f aca="false">C26*Supuestos!C10</f>
        <v>893.672727272727</v>
      </c>
      <c r="D29" s="35" t="n">
        <f aca="false">D26*Supuestos!D10</f>
        <v>4635.10588235294</v>
      </c>
      <c r="E29" s="35" t="n">
        <f aca="false">E26*Supuestos!E10</f>
        <v>19551.0857142857</v>
      </c>
    </row>
    <row r="30" customFormat="false" ht="15" hidden="false" customHeight="false" outlineLevel="0" collapsed="false">
      <c r="A30" s="5" t="s">
        <v>154</v>
      </c>
      <c r="B30" s="23" t="s">
        <v>35</v>
      </c>
      <c r="C30" s="35" t="n">
        <f aca="false">C27*Supuestos!C10</f>
        <v>11968</v>
      </c>
      <c r="D30" s="35" t="n">
        <f aca="false">D27*Supuestos!D10</f>
        <v>25581.6</v>
      </c>
      <c r="E30" s="35" t="n">
        <f aca="false">E27*Supuestos!E10</f>
        <v>47124</v>
      </c>
    </row>
    <row r="31" customFormat="false" ht="15" hidden="false" customHeight="false" outlineLevel="0" collapsed="false">
      <c r="A31" s="7" t="s">
        <v>155</v>
      </c>
      <c r="B31" s="43" t="s">
        <v>35</v>
      </c>
      <c r="C31" s="8" t="n">
        <f aca="false">C29+C30</f>
        <v>12861.6727272727</v>
      </c>
      <c r="D31" s="8" t="n">
        <f aca="false">D29+D30</f>
        <v>30216.7058823529</v>
      </c>
      <c r="E31" s="8" t="n">
        <f aca="false">E29+E30</f>
        <v>66675.0857142857</v>
      </c>
    </row>
    <row r="32" customFormat="false" ht="15" hidden="false" customHeight="false" outlineLevel="0" collapsed="false">
      <c r="A32" s="5" t="s">
        <v>156</v>
      </c>
      <c r="B32" s="23" t="s">
        <v>53</v>
      </c>
      <c r="C32" s="10" t="n">
        <f aca="false">IFERROR(C29/C21,0)</f>
        <v>0.223418181818182</v>
      </c>
      <c r="D32" s="10" t="n">
        <f aca="false">IFERROR(D29/D21,0)</f>
        <v>0.772517647058823</v>
      </c>
      <c r="E32" s="10" t="n">
        <f aca="false">IFERROR(E29/E21,0)</f>
        <v>2.17234285714286</v>
      </c>
    </row>
    <row r="34" customFormat="false" ht="15" hidden="false" customHeight="false" outlineLevel="0" collapsed="false">
      <c r="A34" s="39" t="s">
        <v>158</v>
      </c>
      <c r="B34" s="19"/>
      <c r="C34" s="19"/>
      <c r="D34" s="19"/>
      <c r="E34" s="19"/>
    </row>
    <row r="35" customFormat="false" ht="15" hidden="false" customHeight="false" outlineLevel="0" collapsed="false">
      <c r="A35" s="7" t="s">
        <v>16</v>
      </c>
      <c r="B35" s="43" t="s">
        <v>35</v>
      </c>
      <c r="C35" s="8" t="n">
        <f aca="false">C16+C31</f>
        <v>22008.1075098814</v>
      </c>
      <c r="D35" s="8" t="n">
        <f aca="false">D16+D31</f>
        <v>52482.2179028133</v>
      </c>
      <c r="E35" s="8" t="n">
        <f aca="false">E16+E31</f>
        <v>118663.334161491</v>
      </c>
    </row>
    <row r="36" customFormat="false" ht="15" hidden="false" customHeight="false" outlineLevel="0" collapsed="false">
      <c r="A36" s="5" t="s">
        <v>159</v>
      </c>
      <c r="B36" s="23" t="s">
        <v>49</v>
      </c>
      <c r="C36" s="44" t="n">
        <f aca="false">C13+C28</f>
        <v>68.7753359683794</v>
      </c>
      <c r="D36" s="44" t="n">
        <f aca="false">D13+D28</f>
        <v>138.111099744246</v>
      </c>
      <c r="E36" s="44" t="n">
        <f aca="false">E13+E28</f>
        <v>263.696298136646</v>
      </c>
    </row>
    <row r="37" customFormat="false" ht="15" hidden="false" customHeight="false" outlineLevel="0" collapsed="false">
      <c r="A37" s="5" t="s">
        <v>160</v>
      </c>
      <c r="B37" s="23" t="s">
        <v>35</v>
      </c>
      <c r="C37" s="35" t="n">
        <f aca="false">C6+C21</f>
        <v>8000</v>
      </c>
      <c r="D37" s="35" t="n">
        <f aca="false">D6+D21</f>
        <v>12000</v>
      </c>
      <c r="E37" s="35" t="n">
        <f aca="false">E6+E21</f>
        <v>18000</v>
      </c>
    </row>
    <row r="38" customFormat="false" ht="15" hidden="false" customHeight="false" outlineLevel="0" collapsed="false">
      <c r="A38" s="5" t="s">
        <v>161</v>
      </c>
      <c r="B38" s="23" t="s">
        <v>42</v>
      </c>
      <c r="C38" s="45" t="n">
        <f aca="false">IFERROR((C14+C29)/C35,0)</f>
        <v>0.0810659212329082</v>
      </c>
      <c r="D38" s="45" t="n">
        <f aca="false">IFERROR((D14+D29)/D35,0)</f>
        <v>0.176315298258713</v>
      </c>
      <c r="E38" s="45" t="n">
        <f aca="false">IFERROR((E14+E29)/E35,0)</f>
        <v>0.328924974485989</v>
      </c>
    </row>
    <row r="40" customFormat="false" ht="15" hidden="false" customHeight="false" outlineLevel="0" collapsed="false">
      <c r="A40" s="2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6" min="4" style="0" width="14"/>
    <col collapsed="false" customWidth="true" hidden="false" outlineLevel="0" max="12" min="7" style="0" width="11"/>
    <col collapsed="false" customWidth="true" hidden="false" outlineLevel="0" max="13" min="13" style="0" width="12"/>
    <col collapsed="false" customWidth="true" hidden="false" outlineLevel="0" max="15" min="14" style="0" width="15"/>
  </cols>
  <sheetData>
    <row r="1" customFormat="false" ht="19.7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45.75" hidden="false" customHeight="true" outlineLevel="0" collapsed="false">
      <c r="A4" s="3" t="s">
        <v>15</v>
      </c>
      <c r="B4" s="4" t="s">
        <v>165</v>
      </c>
      <c r="C4" s="4" t="s">
        <v>19</v>
      </c>
      <c r="D4" s="4" t="s">
        <v>166</v>
      </c>
      <c r="E4" s="4" t="s">
        <v>167</v>
      </c>
      <c r="F4" s="4" t="s">
        <v>168</v>
      </c>
      <c r="G4" s="4" t="s">
        <v>169</v>
      </c>
      <c r="H4" s="4" t="s">
        <v>170</v>
      </c>
      <c r="I4" s="4" t="s">
        <v>171</v>
      </c>
      <c r="J4" s="4" t="s">
        <v>172</v>
      </c>
      <c r="K4" s="4" t="s">
        <v>173</v>
      </c>
      <c r="L4" s="4" t="s">
        <v>174</v>
      </c>
      <c r="M4" s="4" t="s">
        <v>175</v>
      </c>
      <c r="N4" s="4" t="s">
        <v>176</v>
      </c>
      <c r="O4" s="4" t="s">
        <v>177</v>
      </c>
    </row>
    <row r="5" customFormat="false" ht="15" hidden="false" customHeight="false" outlineLevel="0" collapsed="false">
      <c r="A5" s="14" t="str">
        <f aca="false">Supuestos!A24</f>
        <v>Fichas de lotería sueltas</v>
      </c>
      <c r="B5" s="6" t="n">
        <f aca="false">Supuestos!B24</f>
        <v>5</v>
      </c>
      <c r="C5" s="16" t="str">
        <f aca="false">Supuestos!E24</f>
        <v>Stock</v>
      </c>
      <c r="D5" s="35" t="n">
        <f aca="false">Demanda!$D$16*Supuestos!$C24/Supuestos!$C$37</f>
        <v>947.468596615334</v>
      </c>
      <c r="E5" s="35" t="n">
        <f aca="false">Demanda!$D$31*Supuestos!$D24/Supuestos!$D$37</f>
        <v>925.001200480192</v>
      </c>
      <c r="F5" s="46" t="n">
        <f aca="false">D5+E5</f>
        <v>1872.46979709553</v>
      </c>
      <c r="G5" s="34" t="n">
        <f aca="false">Demanda!C$16*Supuestos!$C24/Supuestos!$C$37/B5</f>
        <v>77.8419981498612</v>
      </c>
      <c r="H5" s="34" t="n">
        <f aca="false">Demanda!D$16*Supuestos!$C24/Supuestos!$C$37/B5</f>
        <v>189.493719323067</v>
      </c>
      <c r="I5" s="34" t="n">
        <f aca="false">Demanda!E$16*Supuestos!$C24/Supuestos!$C$37/B5</f>
        <v>442.453178274085</v>
      </c>
      <c r="J5" s="34" t="n">
        <f aca="false">Demanda!C$31*Supuestos!$D24/Supuestos!$D$37/B5</f>
        <v>78.7449350649351</v>
      </c>
      <c r="K5" s="34" t="n">
        <f aca="false">Demanda!D$31*Supuestos!$D24/Supuestos!$D$37/B5</f>
        <v>185.000240096038</v>
      </c>
      <c r="L5" s="34" t="n">
        <f aca="false">Demanda!E$31*Supuestos!$D24/Supuestos!$D$37/B5</f>
        <v>408.214810495627</v>
      </c>
      <c r="M5" s="47" t="n">
        <f aca="false">H5+K5</f>
        <v>374.493959419105</v>
      </c>
      <c r="N5" s="48" t="n">
        <f aca="false">ROUNDUP(M5*(1+Supuestos!$C$19),0)</f>
        <v>431</v>
      </c>
      <c r="O5" s="34" t="n">
        <f aca="false">ROUNDUP((I5+L5)*(1+Supuestos!$C$19),0)</f>
        <v>979</v>
      </c>
    </row>
    <row r="6" customFormat="false" ht="15" hidden="false" customHeight="false" outlineLevel="0" collapsed="false">
      <c r="A6" s="14" t="str">
        <f aca="false">Supuestos!A25</f>
        <v>Paquete de 25 fichas</v>
      </c>
      <c r="B6" s="6" t="n">
        <f aca="false">Supuestos!B25</f>
        <v>70</v>
      </c>
      <c r="C6" s="16" t="str">
        <f aca="false">Supuestos!E25</f>
        <v>Stock</v>
      </c>
      <c r="D6" s="35" t="n">
        <f aca="false">Demanda!$D$16*Supuestos!$C25/Supuestos!$C$37</f>
        <v>2605.53864069217</v>
      </c>
      <c r="E6" s="35" t="n">
        <f aca="false">Demanda!$D$31*Supuestos!$D25/Supuestos!$D$37</f>
        <v>3083.33733493397</v>
      </c>
      <c r="F6" s="46" t="n">
        <f aca="false">D6+E6</f>
        <v>5688.87597562614</v>
      </c>
      <c r="G6" s="34" t="n">
        <f aca="false">Demanda!C$16*Supuestos!$C25/Supuestos!$C$37/B6</f>
        <v>15.2903924937227</v>
      </c>
      <c r="H6" s="34" t="n">
        <f aca="false">Demanda!D$16*Supuestos!$C25/Supuestos!$C$37/B6</f>
        <v>37.2219805813167</v>
      </c>
      <c r="I6" s="34" t="n">
        <f aca="false">Demanda!E$16*Supuestos!$C25/Supuestos!$C$37/B6</f>
        <v>86.9104457324095</v>
      </c>
      <c r="J6" s="34" t="n">
        <f aca="false">Demanda!C$31*Supuestos!$D25/Supuestos!$D$37/B6</f>
        <v>18.7487940630798</v>
      </c>
      <c r="K6" s="34" t="n">
        <f aca="false">Demanda!D$31*Supuestos!$D25/Supuestos!$D$37/B6</f>
        <v>44.0476762133425</v>
      </c>
      <c r="L6" s="34" t="n">
        <f aca="false">Demanda!E$31*Supuestos!$D25/Supuestos!$D$37/B6</f>
        <v>97.1940024989588</v>
      </c>
      <c r="M6" s="47" t="n">
        <f aca="false">H6+K6</f>
        <v>81.2696567946592</v>
      </c>
      <c r="N6" s="48" t="n">
        <f aca="false">ROUNDUP(M6*(1+Supuestos!$C$19),0)</f>
        <v>94</v>
      </c>
      <c r="O6" s="34" t="n">
        <f aca="false">ROUNDUP((I6+L6)*(1+Supuestos!$C$19),0)</f>
        <v>212</v>
      </c>
    </row>
    <row r="7" customFormat="false" ht="15" hidden="false" customHeight="false" outlineLevel="0" collapsed="false">
      <c r="A7" s="14" t="str">
        <f aca="false">Supuestos!A26</f>
        <v>Paquete de 50 fichas</v>
      </c>
      <c r="B7" s="6" t="n">
        <f aca="false">Supuestos!B26</f>
        <v>135</v>
      </c>
      <c r="C7" s="16" t="str">
        <f aca="false">Supuestos!E26</f>
        <v>Stock</v>
      </c>
      <c r="D7" s="35" t="n">
        <f aca="false">Demanda!$D$16*Supuestos!$C26/Supuestos!$C$37</f>
        <v>2368.67149153834</v>
      </c>
      <c r="E7" s="35" t="n">
        <f aca="false">Demanda!$D$31*Supuestos!$D26/Supuestos!$D$37</f>
        <v>2775.00360144058</v>
      </c>
      <c r="F7" s="46" t="n">
        <f aca="false">D7+E7</f>
        <v>5143.67509297891</v>
      </c>
      <c r="G7" s="34" t="n">
        <f aca="false">Demanda!C$16*Supuestos!$C26/Supuestos!$C$37/B7</f>
        <v>7.20759242128345</v>
      </c>
      <c r="H7" s="34" t="n">
        <f aca="false">Demanda!D$16*Supuestos!$C26/Supuestos!$C$37/B7</f>
        <v>17.5457147521358</v>
      </c>
      <c r="I7" s="34" t="n">
        <f aca="false">Demanda!E$16*Supuestos!$C26/Supuestos!$C$37/B7</f>
        <v>40.9678868772301</v>
      </c>
      <c r="J7" s="34" t="n">
        <f aca="false">Demanda!C$31*Supuestos!$D26/Supuestos!$D$37/B7</f>
        <v>8.74943722943723</v>
      </c>
      <c r="K7" s="34" t="n">
        <f aca="false">Demanda!D$31*Supuestos!$D26/Supuestos!$D$37/B7</f>
        <v>20.5555822328932</v>
      </c>
      <c r="L7" s="34" t="n">
        <f aca="false">Demanda!E$31*Supuestos!$D26/Supuestos!$D$37/B7</f>
        <v>45.3572011661808</v>
      </c>
      <c r="M7" s="47" t="n">
        <f aca="false">H7+K7</f>
        <v>38.101296985029</v>
      </c>
      <c r="N7" s="48" t="n">
        <f aca="false">ROUNDUP(M7*(1+Supuestos!$C$19),0)</f>
        <v>44</v>
      </c>
      <c r="O7" s="34" t="n">
        <f aca="false">ROUNDUP((I7+L7)*(1+Supuestos!$C$19),0)</f>
        <v>100</v>
      </c>
    </row>
    <row r="8" customFormat="false" ht="15" hidden="false" customHeight="false" outlineLevel="0" collapsed="false">
      <c r="A8" s="14" t="str">
        <f aca="false">Supuestos!A27</f>
        <v>Paquete de 100 fichas</v>
      </c>
      <c r="B8" s="6" t="n">
        <f aca="false">Supuestos!B27</f>
        <v>280</v>
      </c>
      <c r="C8" s="16" t="str">
        <f aca="false">Supuestos!E27</f>
        <v>Stock</v>
      </c>
      <c r="D8" s="35" t="n">
        <f aca="false">Demanda!$D$16*Supuestos!$C27/Supuestos!$C$37</f>
        <v>1658.07004407683</v>
      </c>
      <c r="E8" s="35" t="n">
        <f aca="false">Demanda!$D$31*Supuestos!$D27/Supuestos!$D$37</f>
        <v>2775.00360144058</v>
      </c>
      <c r="F8" s="46" t="n">
        <f aca="false">D8+E8</f>
        <v>4433.07364551741</v>
      </c>
      <c r="G8" s="34" t="n">
        <f aca="false">Demanda!C$16*Supuestos!$C27/Supuestos!$C$37/B8</f>
        <v>2.43256244218316</v>
      </c>
      <c r="H8" s="34" t="n">
        <f aca="false">Demanda!D$16*Supuestos!$C27/Supuestos!$C$37/B8</f>
        <v>5.92167872884584</v>
      </c>
      <c r="I8" s="34" t="n">
        <f aca="false">Demanda!E$16*Supuestos!$C27/Supuestos!$C$37/B8</f>
        <v>13.8266618210652</v>
      </c>
      <c r="J8" s="34" t="n">
        <f aca="false">Demanda!C$31*Supuestos!$D27/Supuestos!$D$37/B8</f>
        <v>4.21847866419295</v>
      </c>
      <c r="K8" s="34" t="n">
        <f aca="false">Demanda!D$31*Supuestos!$D27/Supuestos!$D$37/B8</f>
        <v>9.91072714800206</v>
      </c>
      <c r="L8" s="34" t="n">
        <f aca="false">Demanda!E$31*Supuestos!$D27/Supuestos!$D$37/B8</f>
        <v>21.8686505622657</v>
      </c>
      <c r="M8" s="47" t="n">
        <f aca="false">H8+K8</f>
        <v>15.8324058768479</v>
      </c>
      <c r="N8" s="48" t="n">
        <f aca="false">ROUNDUP(M8*(1+Supuestos!$C$19),0)</f>
        <v>19</v>
      </c>
      <c r="O8" s="34" t="n">
        <f aca="false">ROUNDUP((I8+L8)*(1+Supuestos!$C$19),0)</f>
        <v>42</v>
      </c>
    </row>
    <row r="9" customFormat="false" ht="15" hidden="false" customHeight="false" outlineLevel="0" collapsed="false">
      <c r="A9" s="14" t="str">
        <f aca="false">Supuestos!A28</f>
        <v>Tazas personalizadas</v>
      </c>
      <c r="B9" s="6" t="n">
        <f aca="false">Supuestos!B28</f>
        <v>198</v>
      </c>
      <c r="C9" s="16" t="str">
        <f aca="false">Supuestos!E28</f>
        <v>Bajo pedido</v>
      </c>
      <c r="D9" s="35" t="n">
        <f aca="false">Demanda!$D$16*Supuestos!$C28/Supuestos!$C$37</f>
        <v>1894.93719323067</v>
      </c>
      <c r="E9" s="35" t="n">
        <f aca="false">Demanda!$D$31*Supuestos!$D28/Supuestos!$D$37</f>
        <v>2775.00360144058</v>
      </c>
      <c r="F9" s="46" t="n">
        <f aca="false">D9+E9</f>
        <v>4669.94079467125</v>
      </c>
      <c r="G9" s="34" t="n">
        <f aca="false">Demanda!C$16*Supuestos!$C28/Supuestos!$C$37/B9</f>
        <v>3.93141404797279</v>
      </c>
      <c r="H9" s="34" t="n">
        <f aca="false">Demanda!D$16*Supuestos!$C28/Supuestos!$C$37/B9</f>
        <v>9.57038986480136</v>
      </c>
      <c r="I9" s="34" t="n">
        <f aca="false">Demanda!E$16*Supuestos!$C28/Supuestos!$C$37/B9</f>
        <v>22.3461201148528</v>
      </c>
      <c r="J9" s="34" t="n">
        <f aca="false">Demanda!C$31*Supuestos!$D28/Supuestos!$D$37/B9</f>
        <v>5.9655253837072</v>
      </c>
      <c r="K9" s="34" t="n">
        <f aca="false">Demanda!D$31*Supuestos!$D28/Supuestos!$D$37/B9</f>
        <v>14.0151697042453</v>
      </c>
      <c r="L9" s="34" t="n">
        <f aca="false">Demanda!E$31*Supuestos!$D28/Supuestos!$D$37/B9</f>
        <v>30.9253644314869</v>
      </c>
      <c r="M9" s="47" t="n">
        <f aca="false">H9+K9</f>
        <v>23.5855595690467</v>
      </c>
      <c r="N9" s="48" t="n">
        <f aca="false">ROUNDUP(M9*(1+Supuestos!$C$19),0)</f>
        <v>28</v>
      </c>
      <c r="O9" s="34" t="n">
        <f aca="false">ROUNDUP((I9+L9)*(1+Supuestos!$C$19),0)</f>
        <v>62</v>
      </c>
    </row>
    <row r="10" customFormat="false" ht="15" hidden="false" customHeight="false" outlineLevel="0" collapsed="false">
      <c r="A10" s="14" t="str">
        <f aca="false">Supuestos!A29</f>
        <v>Vasos y termos personalizados</v>
      </c>
      <c r="B10" s="6" t="n">
        <f aca="false">Supuestos!B29</f>
        <v>497</v>
      </c>
      <c r="C10" s="16" t="str">
        <f aca="false">Supuestos!E29</f>
        <v>Bajo pedido</v>
      </c>
      <c r="D10" s="35" t="n">
        <f aca="false">Demanda!$D$16*Supuestos!$C29/Supuestos!$C$37</f>
        <v>2368.67149153834</v>
      </c>
      <c r="E10" s="35" t="n">
        <f aca="false">Demanda!$D$31*Supuestos!$D29/Supuestos!$D$37</f>
        <v>3391.67106842737</v>
      </c>
      <c r="F10" s="46" t="n">
        <f aca="false">D10+E10</f>
        <v>5760.34255996571</v>
      </c>
      <c r="G10" s="34" t="n">
        <f aca="false">Demanda!C$16*Supuestos!$C29/Supuestos!$C$37/B10</f>
        <v>1.95779673415144</v>
      </c>
      <c r="H10" s="34" t="n">
        <f aca="false">Demanda!D$16*Supuestos!$C29/Supuestos!$C$37/B10</f>
        <v>4.76593861476526</v>
      </c>
      <c r="I10" s="34" t="n">
        <f aca="false">Demanda!E$16*Supuestos!$C29/Supuestos!$C$37/B10</f>
        <v>11.1280980451229</v>
      </c>
      <c r="J10" s="34" t="n">
        <f aca="false">Demanda!C$31*Supuestos!$D29/Supuestos!$D$37/B10</f>
        <v>2.90474274216729</v>
      </c>
      <c r="K10" s="34" t="n">
        <f aca="false">Demanda!D$31*Supuestos!$D29/Supuestos!$D$37/B10</f>
        <v>6.82428786403898</v>
      </c>
      <c r="L10" s="34" t="n">
        <f aca="false">Demanda!E$31*Supuestos!$D29/Supuestos!$D$37/B10</f>
        <v>15.0582257392753</v>
      </c>
      <c r="M10" s="47" t="n">
        <f aca="false">H10+K10</f>
        <v>11.5902264788042</v>
      </c>
      <c r="N10" s="48" t="n">
        <f aca="false">ROUNDUP(M10*(1+Supuestos!$C$19),0)</f>
        <v>14</v>
      </c>
      <c r="O10" s="34" t="n">
        <f aca="false">ROUNDUP((I10+L10)*(1+Supuestos!$C$19),0)</f>
        <v>31</v>
      </c>
    </row>
    <row r="11" customFormat="false" ht="15" hidden="false" customHeight="false" outlineLevel="0" collapsed="false">
      <c r="A11" s="14" t="str">
        <f aca="false">Supuestos!A30</f>
        <v>Agendas</v>
      </c>
      <c r="B11" s="6" t="n">
        <f aca="false">Supuestos!B30</f>
        <v>397</v>
      </c>
      <c r="C11" s="16" t="str">
        <f aca="false">Supuestos!E30</f>
        <v>Bajo pedido</v>
      </c>
      <c r="D11" s="35" t="n">
        <f aca="false">Demanda!$D$16*Supuestos!$C30/Supuestos!$C$37</f>
        <v>1894.93719323067</v>
      </c>
      <c r="E11" s="35" t="n">
        <f aca="false">Demanda!$D$31*Supuestos!$D30/Supuestos!$D$37</f>
        <v>3391.67106842737</v>
      </c>
      <c r="F11" s="46" t="n">
        <f aca="false">D11+E11</f>
        <v>5286.60826165804</v>
      </c>
      <c r="G11" s="34" t="n">
        <f aca="false">Demanda!C$16*Supuestos!$C30/Supuestos!$C$37/B11</f>
        <v>1.96075562090331</v>
      </c>
      <c r="H11" s="34" t="n">
        <f aca="false">Demanda!D$16*Supuestos!$C30/Supuestos!$C$37/B11</f>
        <v>4.77314154466163</v>
      </c>
      <c r="I11" s="34" t="n">
        <f aca="false">Demanda!E$16*Supuestos!$C30/Supuestos!$C$37/B11</f>
        <v>11.144916329322</v>
      </c>
      <c r="J11" s="34" t="n">
        <f aca="false">Demanda!C$31*Supuestos!$D30/Supuestos!$D$37/B11</f>
        <v>3.63641597697013</v>
      </c>
      <c r="K11" s="34" t="n">
        <f aca="false">Demanda!D$31*Supuestos!$D30/Supuestos!$D$37/B11</f>
        <v>8.5432520615299</v>
      </c>
      <c r="L11" s="34" t="n">
        <f aca="false">Demanda!E$31*Supuestos!$D30/Supuestos!$D$37/B11</f>
        <v>18.8512297038283</v>
      </c>
      <c r="M11" s="47" t="n">
        <f aca="false">H11+K11</f>
        <v>13.3163936061915</v>
      </c>
      <c r="N11" s="48" t="n">
        <f aca="false">ROUNDUP(M11*(1+Supuestos!$C$19),0)</f>
        <v>16</v>
      </c>
      <c r="O11" s="34" t="n">
        <f aca="false">ROUNDUP((I11+L11)*(1+Supuestos!$C$19),0)</f>
        <v>35</v>
      </c>
    </row>
    <row r="12" customFormat="false" ht="15" hidden="false" customHeight="false" outlineLevel="0" collapsed="false">
      <c r="A12" s="14" t="str">
        <f aca="false">Supuestos!A31</f>
        <v>Libretas</v>
      </c>
      <c r="B12" s="6" t="n">
        <f aca="false">Supuestos!B31</f>
        <v>250</v>
      </c>
      <c r="C12" s="16" t="str">
        <f aca="false">Supuestos!E31</f>
        <v>Bajo pedido</v>
      </c>
      <c r="D12" s="35" t="n">
        <f aca="false">Demanda!$D$16*Supuestos!$C31/Supuestos!$C$37</f>
        <v>947.468596615334</v>
      </c>
      <c r="E12" s="35" t="n">
        <f aca="false">Demanda!$D$31*Supuestos!$D31/Supuestos!$D$37</f>
        <v>1541.66866746699</v>
      </c>
      <c r="F12" s="46" t="n">
        <f aca="false">D12+E12</f>
        <v>2489.13726408232</v>
      </c>
      <c r="G12" s="34" t="n">
        <f aca="false">Demanda!C$16*Supuestos!$C31/Supuestos!$C$37/B12</f>
        <v>1.55683996299722</v>
      </c>
      <c r="H12" s="34" t="n">
        <f aca="false">Demanda!D$16*Supuestos!$C31/Supuestos!$C$37/B12</f>
        <v>3.78987438646134</v>
      </c>
      <c r="I12" s="34" t="n">
        <f aca="false">Demanda!E$16*Supuestos!$C31/Supuestos!$C$37/B12</f>
        <v>8.8490635654817</v>
      </c>
      <c r="J12" s="34" t="n">
        <f aca="false">Demanda!C$31*Supuestos!$D31/Supuestos!$D$37/B12</f>
        <v>2.62483116883117</v>
      </c>
      <c r="K12" s="34" t="n">
        <f aca="false">Demanda!D$31*Supuestos!$D31/Supuestos!$D$37/B12</f>
        <v>6.16667466986795</v>
      </c>
      <c r="L12" s="34" t="n">
        <f aca="false">Demanda!E$31*Supuestos!$D31/Supuestos!$D$37/B12</f>
        <v>13.6071603498542</v>
      </c>
      <c r="M12" s="47" t="n">
        <f aca="false">H12+K12</f>
        <v>9.95654905632929</v>
      </c>
      <c r="N12" s="48" t="n">
        <f aca="false">ROUNDUP(M12*(1+Supuestos!$C$19),0)</f>
        <v>12</v>
      </c>
      <c r="O12" s="34" t="n">
        <f aca="false">ROUNDUP((I12+L12)*(1+Supuestos!$C$19),0)</f>
        <v>26</v>
      </c>
    </row>
    <row r="13" customFormat="false" ht="15" hidden="false" customHeight="false" outlineLevel="0" collapsed="false">
      <c r="A13" s="14" t="str">
        <f aca="false">Supuestos!A32</f>
        <v>Sellos (madera, autoentintables y cera)</v>
      </c>
      <c r="B13" s="6" t="n">
        <f aca="false">Supuestos!B32</f>
        <v>424</v>
      </c>
      <c r="C13" s="16" t="str">
        <f aca="false">Supuestos!E32</f>
        <v>Bajo pedido</v>
      </c>
      <c r="D13" s="35" t="n">
        <f aca="false">Demanda!$D$16*Supuestos!$C32/Supuestos!$C$37</f>
        <v>2368.67149153834</v>
      </c>
      <c r="E13" s="35" t="n">
        <f aca="false">Demanda!$D$31*Supuestos!$D32/Supuestos!$D$37</f>
        <v>1850.00240096038</v>
      </c>
      <c r="F13" s="46" t="n">
        <f aca="false">D13+E13</f>
        <v>4218.67389249872</v>
      </c>
      <c r="G13" s="34" t="n">
        <f aca="false">Demanda!C$16*Supuestos!$C32/Supuestos!$C$37/B13</f>
        <v>2.29487022847468</v>
      </c>
      <c r="H13" s="34" t="n">
        <f aca="false">Demanda!D$16*Supuestos!$C32/Supuestos!$C$37/B13</f>
        <v>5.5864893668357</v>
      </c>
      <c r="I13" s="34" t="n">
        <f aca="false">Demanda!E$16*Supuestos!$C32/Supuestos!$C$37/B13</f>
        <v>13.0440205859105</v>
      </c>
      <c r="J13" s="34" t="n">
        <f aca="false">Demanda!C$31*Supuestos!$D32/Supuestos!$D$37/B13</f>
        <v>1.85719186473903</v>
      </c>
      <c r="K13" s="34" t="n">
        <f aca="false">Demanda!D$31*Supuestos!$D32/Supuestos!$D$37/B13</f>
        <v>4.36321320981223</v>
      </c>
      <c r="L13" s="34" t="n">
        <f aca="false">Demanda!E$31*Supuestos!$D32/Supuestos!$D$37/B13</f>
        <v>9.62770779470818</v>
      </c>
      <c r="M13" s="47" t="n">
        <f aca="false">H13+K13</f>
        <v>9.94970257664793</v>
      </c>
      <c r="N13" s="48" t="n">
        <f aca="false">ROUNDUP(M13*(1+Supuestos!$C$19),0)</f>
        <v>12</v>
      </c>
      <c r="O13" s="34" t="n">
        <f aca="false">ROUNDUP((I13+L13)*(1+Supuestos!$C$19),0)</f>
        <v>27</v>
      </c>
    </row>
    <row r="14" customFormat="false" ht="15" hidden="false" customHeight="false" outlineLevel="0" collapsed="false">
      <c r="A14" s="14" t="str">
        <f aca="false">Supuestos!A33</f>
        <v>Impresión 3D y otros personalizados</v>
      </c>
      <c r="B14" s="6" t="n">
        <f aca="false">Supuestos!B33</f>
        <v>600</v>
      </c>
      <c r="C14" s="16" t="str">
        <f aca="false">Supuestos!E33</f>
        <v>Bajo pedido</v>
      </c>
      <c r="D14" s="35" t="n">
        <f aca="false">Demanda!$D$16*Supuestos!$C33/Supuestos!$C$37</f>
        <v>710.601447461501</v>
      </c>
      <c r="E14" s="35" t="n">
        <f aca="false">Demanda!$D$31*Supuestos!$D33/Supuestos!$D$37</f>
        <v>925.001200480192</v>
      </c>
      <c r="F14" s="46" t="n">
        <f aca="false">D14+E14</f>
        <v>1635.60264794169</v>
      </c>
      <c r="G14" s="34" t="n">
        <f aca="false">Demanda!C$16*Supuestos!$C33/Supuestos!$C$37/B14</f>
        <v>0.486512488436633</v>
      </c>
      <c r="H14" s="34" t="n">
        <f aca="false">Demanda!D$16*Supuestos!$C33/Supuestos!$C$37/B14</f>
        <v>1.18433574576917</v>
      </c>
      <c r="I14" s="34" t="n">
        <f aca="false">Demanda!E$16*Supuestos!$C33/Supuestos!$C$37/B14</f>
        <v>2.76533236421303</v>
      </c>
      <c r="J14" s="34" t="n">
        <f aca="false">Demanda!C$31*Supuestos!$D33/Supuestos!$D$37/B14</f>
        <v>0.656207792207792</v>
      </c>
      <c r="K14" s="34" t="n">
        <f aca="false">Demanda!D$31*Supuestos!$D33/Supuestos!$D$37/B14</f>
        <v>1.54166866746699</v>
      </c>
      <c r="L14" s="34" t="n">
        <f aca="false">Demanda!E$31*Supuestos!$D33/Supuestos!$D$37/B14</f>
        <v>3.40179008746356</v>
      </c>
      <c r="M14" s="47" t="n">
        <f aca="false">H14+K14</f>
        <v>2.72600441323615</v>
      </c>
      <c r="N14" s="48" t="n">
        <f aca="false">ROUNDUP(M14*(1+Supuestos!$C$19),0)</f>
        <v>4</v>
      </c>
      <c r="O14" s="34" t="n">
        <f aca="false">ROUNDUP((I14+L14)*(1+Supuestos!$C$19),0)</f>
        <v>8</v>
      </c>
    </row>
    <row r="15" customFormat="false" ht="15" hidden="false" customHeight="false" outlineLevel="0" collapsed="false">
      <c r="A15" s="14" t="str">
        <f aca="false">Supuestos!A34</f>
        <v>Mini CD con NFC</v>
      </c>
      <c r="B15" s="6" t="n">
        <f aca="false">Supuestos!B34</f>
        <v>185</v>
      </c>
      <c r="C15" s="16" t="str">
        <f aca="false">Supuestos!E34</f>
        <v>Stock</v>
      </c>
      <c r="D15" s="35" t="n">
        <f aca="false">Demanda!$D$16*Supuestos!$C34/Supuestos!$C$37</f>
        <v>1421.202894923</v>
      </c>
      <c r="E15" s="35" t="n">
        <f aca="false">Demanda!$D$31*Supuestos!$D34/Supuestos!$D$37</f>
        <v>2466.66986794718</v>
      </c>
      <c r="F15" s="46" t="n">
        <f aca="false">D15+E15</f>
        <v>3887.87276287018</v>
      </c>
      <c r="G15" s="34" t="n">
        <f aca="false">Demanda!C$16*Supuestos!$C34/Supuestos!$C$37/B15</f>
        <v>3.15575668175113</v>
      </c>
      <c r="H15" s="34" t="n">
        <f aca="false">Demanda!D$16*Supuestos!$C34/Supuestos!$C$37/B15</f>
        <v>7.6821778103946</v>
      </c>
      <c r="I15" s="34" t="n">
        <f aca="false">Demanda!E$16*Supuestos!$C34/Supuestos!$C$37/B15</f>
        <v>17.9372910111115</v>
      </c>
      <c r="J15" s="34" t="n">
        <f aca="false">Demanda!C$31*Supuestos!$D34/Supuestos!$D$37/B15</f>
        <v>5.67531063531064</v>
      </c>
      <c r="K15" s="34" t="n">
        <f aca="false">Demanda!D$31*Supuestos!$D34/Supuestos!$D$37/B15</f>
        <v>13.3333506375523</v>
      </c>
      <c r="L15" s="34" t="n">
        <f aca="false">Demanda!E$31*Supuestos!$D34/Supuestos!$D$37/B15</f>
        <v>29.4208872429281</v>
      </c>
      <c r="M15" s="47" t="n">
        <f aca="false">H15+K15</f>
        <v>21.0155284479469</v>
      </c>
      <c r="N15" s="48" t="n">
        <f aca="false">ROUNDUP(M15*(1+Supuestos!$C$19),0)</f>
        <v>25</v>
      </c>
      <c r="O15" s="34" t="n">
        <f aca="false">ROUNDUP((I15+L15)*(1+Supuestos!$C$19),0)</f>
        <v>55</v>
      </c>
    </row>
    <row r="16" customFormat="false" ht="15" hidden="false" customHeight="false" outlineLevel="0" collapsed="false">
      <c r="A16" s="14" t="str">
        <f aca="false">Supuestos!A35</f>
        <v>Colección Pride</v>
      </c>
      <c r="B16" s="6" t="n">
        <f aca="false">Supuestos!B35</f>
        <v>269</v>
      </c>
      <c r="C16" s="16" t="str">
        <f aca="false">Supuestos!E35</f>
        <v>Stock</v>
      </c>
      <c r="D16" s="35" t="n">
        <f aca="false">Demanda!$D$16*Supuestos!$C35/Supuestos!$C$37</f>
        <v>710.601447461501</v>
      </c>
      <c r="E16" s="35" t="n">
        <f aca="false">Demanda!$D$31*Supuestos!$D35/Supuestos!$D$37</f>
        <v>616.667466986795</v>
      </c>
      <c r="F16" s="46" t="n">
        <f aca="false">D16+E16</f>
        <v>1327.2689144483</v>
      </c>
      <c r="G16" s="34" t="n">
        <f aca="false">Demanda!C$16*Supuestos!$C35/Supuestos!$C$37/B16</f>
        <v>1.08515796677316</v>
      </c>
      <c r="H16" s="34" t="n">
        <f aca="false">Demanda!D$16*Supuestos!$C35/Supuestos!$C$37/B16</f>
        <v>2.64164106863011</v>
      </c>
      <c r="I16" s="34" t="n">
        <f aca="false">Demanda!E$16*Supuestos!$C35/Supuestos!$C$37/B16</f>
        <v>6.16802757817033</v>
      </c>
      <c r="J16" s="34" t="n">
        <f aca="false">Demanda!C$31*Supuestos!$D35/Supuestos!$D$37/B16</f>
        <v>0.975773668710472</v>
      </c>
      <c r="K16" s="34" t="n">
        <f aca="false">Demanda!D$31*Supuestos!$D35/Supuestos!$D$37/B16</f>
        <v>2.29244411519255</v>
      </c>
      <c r="L16" s="34" t="n">
        <f aca="false">Demanda!E$31*Supuestos!$D35/Supuestos!$D$37/B16</f>
        <v>5.0584239218789</v>
      </c>
      <c r="M16" s="47" t="n">
        <f aca="false">H16+K16</f>
        <v>4.93408518382266</v>
      </c>
      <c r="N16" s="48" t="n">
        <f aca="false">ROUNDUP(M16*(1+Supuestos!$C$19),0)</f>
        <v>6</v>
      </c>
      <c r="O16" s="34" t="n">
        <f aca="false">ROUNDUP((I16+L16)*(1+Supuestos!$C$19),0)</f>
        <v>13</v>
      </c>
    </row>
    <row r="17" customFormat="false" ht="15" hidden="false" customHeight="false" outlineLevel="0" collapsed="false">
      <c r="A17" s="14" t="str">
        <f aca="false">Supuestos!A36</f>
        <v>Kits y regalos de temporada (Navidad)</v>
      </c>
      <c r="B17" s="6" t="n">
        <f aca="false">Supuestos!B36</f>
        <v>900</v>
      </c>
      <c r="C17" s="16" t="str">
        <f aca="false">Supuestos!E36</f>
        <v>Bajo pedido</v>
      </c>
      <c r="D17" s="35" t="n">
        <f aca="false">Demanda!$D$16*Supuestos!$C36/Supuestos!$C$37</f>
        <v>2368.67149153834</v>
      </c>
      <c r="E17" s="35" t="n">
        <f aca="false">Demanda!$D$31*Supuestos!$D36/Supuestos!$D$37</f>
        <v>3700.00480192077</v>
      </c>
      <c r="F17" s="46" t="n">
        <f aca="false">D17+E17</f>
        <v>6068.6762934591</v>
      </c>
      <c r="G17" s="34" t="n">
        <f aca="false">Demanda!C$16*Supuestos!$C36/Supuestos!$C$37/B17</f>
        <v>1.08113886319252</v>
      </c>
      <c r="H17" s="34" t="n">
        <f aca="false">Demanda!D$16*Supuestos!$C36/Supuestos!$C$37/B17</f>
        <v>2.63185721282037</v>
      </c>
      <c r="I17" s="34" t="n">
        <f aca="false">Demanda!E$16*Supuestos!$C36/Supuestos!$C$37/B17</f>
        <v>6.14518303158451</v>
      </c>
      <c r="J17" s="34" t="n">
        <f aca="false">Demanda!C$31*Supuestos!$D36/Supuestos!$D$37/B17</f>
        <v>1.74988744588745</v>
      </c>
      <c r="K17" s="34" t="n">
        <f aca="false">Demanda!D$31*Supuestos!$D36/Supuestos!$D$37/B17</f>
        <v>4.11111644657863</v>
      </c>
      <c r="L17" s="34" t="n">
        <f aca="false">Demanda!E$31*Supuestos!$D36/Supuestos!$D$37/B17</f>
        <v>9.07144023323615</v>
      </c>
      <c r="M17" s="47" t="n">
        <f aca="false">H17+K17</f>
        <v>6.74297365939901</v>
      </c>
      <c r="N17" s="48" t="n">
        <f aca="false">ROUNDUP(M17*(1+Supuestos!$C$19),0)</f>
        <v>8</v>
      </c>
      <c r="O17" s="34" t="n">
        <f aca="false">ROUNDUP((I17+L17)*(1+Supuestos!$C$19),0)</f>
        <v>18</v>
      </c>
    </row>
    <row r="18" customFormat="false" ht="15" hidden="false" customHeight="false" outlineLevel="0" collapsed="false">
      <c r="A18" s="17" t="s">
        <v>158</v>
      </c>
      <c r="B18" s="19"/>
      <c r="C18" s="19"/>
      <c r="D18" s="18" t="n">
        <f aca="false">SUM(D5:D17)</f>
        <v>22265.5120204604</v>
      </c>
      <c r="E18" s="18" t="n">
        <f aca="false">SUM(E5:E17)</f>
        <v>30216.7058823529</v>
      </c>
      <c r="F18" s="18" t="n">
        <f aca="false">SUM(F5:F17)</f>
        <v>52482.2179028133</v>
      </c>
      <c r="G18" s="19"/>
      <c r="H18" s="19"/>
      <c r="I18" s="19"/>
      <c r="J18" s="19"/>
      <c r="K18" s="19"/>
      <c r="L18" s="19"/>
      <c r="M18" s="19"/>
      <c r="N18" s="19"/>
      <c r="O18" s="19"/>
    </row>
    <row r="20" customFormat="false" ht="15" hidden="false" customHeight="false" outlineLevel="0" collapsed="false">
      <c r="A20" s="13" t="s">
        <v>178</v>
      </c>
    </row>
    <row r="21" customFormat="false" ht="31.5" hidden="false" customHeight="true" outlineLevel="0" collapsed="false">
      <c r="A21" s="3" t="s">
        <v>179</v>
      </c>
      <c r="B21" s="4"/>
      <c r="C21" s="4"/>
      <c r="D21" s="4" t="s">
        <v>180</v>
      </c>
      <c r="E21" s="4" t="s">
        <v>181</v>
      </c>
      <c r="F21" s="4" t="s">
        <v>182</v>
      </c>
      <c r="G21" s="4"/>
      <c r="H21" s="4"/>
      <c r="I21" s="4"/>
      <c r="J21" s="4"/>
      <c r="K21" s="4"/>
      <c r="L21" s="4"/>
      <c r="M21" s="4"/>
      <c r="N21" s="4" t="s">
        <v>183</v>
      </c>
      <c r="O21" s="4"/>
    </row>
    <row r="22" customFormat="false" ht="15" hidden="false" customHeight="false" outlineLevel="0" collapsed="false">
      <c r="A22" s="20" t="s">
        <v>3</v>
      </c>
      <c r="D22" s="34" t="n">
        <f aca="false">SUMPRODUCT(G5:G8,Supuestos!$G$24:$G$27)</f>
        <v>1063.73767577542</v>
      </c>
      <c r="E22" s="34" t="n">
        <f aca="false">SUMPRODUCT(J5:J8,Supuestos!$G$24:$G$27)</f>
        <v>1406.78451453309</v>
      </c>
      <c r="F22" s="47" t="n">
        <f aca="false">D22+E22</f>
        <v>2470.52219030851</v>
      </c>
      <c r="N22" s="47" t="n">
        <f aca="false">ROUNDUP(F22*(1+Supuestos!$C$19),0)</f>
        <v>2842</v>
      </c>
    </row>
    <row r="23" customFormat="false" ht="15" hidden="false" customHeight="false" outlineLevel="0" collapsed="false">
      <c r="A23" s="20" t="s">
        <v>4</v>
      </c>
      <c r="D23" s="34" t="n">
        <f aca="false">SUMPRODUCT(H5:H8,Supuestos!$G$24:$G$27)</f>
        <v>2589.49684434736</v>
      </c>
      <c r="E23" s="34" t="n">
        <f aca="false">SUMPRODUCT(K5:K8,Supuestos!$G$24:$G$27)</f>
        <v>3305.04397187446</v>
      </c>
      <c r="F23" s="47" t="n">
        <f aca="false">D23+E23</f>
        <v>5894.54081622182</v>
      </c>
      <c r="N23" s="48" t="n">
        <f aca="false">ROUNDUP(F23*(1+Supuestos!$C$19),0)</f>
        <v>6779</v>
      </c>
    </row>
    <row r="24" customFormat="false" ht="15" hidden="false" customHeight="false" outlineLevel="0" collapsed="false">
      <c r="A24" s="20" t="s">
        <v>5</v>
      </c>
      <c r="D24" s="34" t="n">
        <f aca="false">SUMPRODUCT(I5:I8,Supuestos!$G$24:$G$27)</f>
        <v>6046.27484755234</v>
      </c>
      <c r="E24" s="34" t="n">
        <f aca="false">SUMPRODUCT(L5:L8,Supuestos!$G$24:$G$27)</f>
        <v>7292.78998750521</v>
      </c>
      <c r="F24" s="47" t="n">
        <f aca="false">D24+E24</f>
        <v>13339.0648350576</v>
      </c>
      <c r="N24" s="47" t="n">
        <f aca="false">ROUNDUP(F24*(1+Supuestos!$C$19),0)</f>
        <v>15340</v>
      </c>
    </row>
    <row r="26" customFormat="false" ht="15" hidden="false" customHeight="false" outlineLevel="0" collapsed="false">
      <c r="A26" s="2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185</v>
      </c>
    </row>
    <row r="3" customFormat="false" ht="31.5" hidden="false" customHeight="true" outlineLevel="0" collapsed="false">
      <c r="A3" s="3" t="s">
        <v>102</v>
      </c>
      <c r="B3" s="4" t="s">
        <v>186</v>
      </c>
    </row>
    <row r="4" customFormat="false" ht="30" hidden="false" customHeight="true" outlineLevel="0" collapsed="false">
      <c r="A4" s="49" t="s">
        <v>187</v>
      </c>
      <c r="B4" s="49" t="s">
        <v>188</v>
      </c>
    </row>
    <row r="5" customFormat="false" ht="30" hidden="false" customHeight="true" outlineLevel="0" collapsed="false">
      <c r="A5" s="49" t="s">
        <v>189</v>
      </c>
      <c r="B5" s="49" t="s">
        <v>190</v>
      </c>
    </row>
    <row r="6" customFormat="false" ht="30" hidden="false" customHeight="true" outlineLevel="0" collapsed="false">
      <c r="A6" s="49" t="s">
        <v>191</v>
      </c>
      <c r="B6" s="49" t="s">
        <v>192</v>
      </c>
    </row>
    <row r="7" customFormat="false" ht="30" hidden="false" customHeight="true" outlineLevel="0" collapsed="false">
      <c r="A7" s="49" t="s">
        <v>193</v>
      </c>
      <c r="B7" s="49" t="s">
        <v>194</v>
      </c>
    </row>
    <row r="8" customFormat="false" ht="30" hidden="false" customHeight="true" outlineLevel="0" collapsed="false">
      <c r="A8" s="49" t="s">
        <v>195</v>
      </c>
      <c r="B8" s="49" t="s">
        <v>196</v>
      </c>
    </row>
    <row r="9" customFormat="false" ht="30" hidden="false" customHeight="true" outlineLevel="0" collapsed="false">
      <c r="A9" s="49" t="s">
        <v>197</v>
      </c>
      <c r="B9" s="49" t="s">
        <v>198</v>
      </c>
    </row>
    <row r="10" customFormat="false" ht="30" hidden="false" customHeight="true" outlineLevel="0" collapsed="false">
      <c r="A10" s="49" t="s">
        <v>199</v>
      </c>
      <c r="B10" s="49" t="s">
        <v>200</v>
      </c>
    </row>
    <row r="11" customFormat="false" ht="30" hidden="false" customHeight="true" outlineLevel="0" collapsed="false">
      <c r="A11" s="49" t="s">
        <v>201</v>
      </c>
      <c r="B11" s="49" t="s">
        <v>202</v>
      </c>
    </row>
    <row r="12" customFormat="false" ht="30" hidden="false" customHeight="true" outlineLevel="0" collapsed="false">
      <c r="A12" s="49" t="s">
        <v>203</v>
      </c>
      <c r="B12" s="49" t="s">
        <v>204</v>
      </c>
    </row>
    <row r="13" customFormat="false" ht="30" hidden="false" customHeight="true" outlineLevel="0" collapsed="false">
      <c r="A13" s="49" t="s">
        <v>205</v>
      </c>
      <c r="B13" s="49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2026-10-29T17:46:47Z</dcterms:created>
  <dc:creator>openpyxl</dc:creator>
  <dc:description/>
  <dc:language>en-US</dc:language>
  <cp:lastModifiedBy/>
  <dcterms:modified xsi:type="dcterms:W3CDTF">2026-10-29T17:46:47Z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