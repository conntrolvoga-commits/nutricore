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Supuestos" sheetId="2" state="visible" r:id="rId4"/>
    <sheet name="Demanda" sheetId="3" state="visible" r:id="rId5"/>
    <sheet name="Costos" sheetId="4" state="visible" r:id="rId6"/>
    <sheet name="Tercerizar" sheetId="5" state="visible" r:id="rId7"/>
    <sheet name="Inversión" sheetId="6" state="visible" r:id="rId8"/>
    <sheet name="Resultados" sheetId="7" state="visible" r:id="rId9"/>
    <sheet name="Proveedores" sheetId="8" state="visible" r:id="rId10"/>
    <sheet name="Fuent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<sst xmlns="http://schemas.openxmlformats.org/spreadsheetml/2006/main" count="671" uniqueCount="404">
  <si>
    <t xml:space="preserve">Mosaicca · Proyección a 12 meses (nov 2026 a oct 2027)</t>
  </si>
  <si>
    <t xml:space="preserve">Estimación por escenarios con supuestos editables. No hay historial de ventas ni costos reales en el proyecto: sustituye las celdas amarillas de Supuestos y Costos antes de decidir inversiones.</t>
  </si>
  <si>
    <t xml:space="preserve">Concepto (MXN)</t>
  </si>
  <si>
    <t xml:space="preserve">Conservador</t>
  </si>
  <si>
    <t xml:space="preserve">Base</t>
  </si>
  <si>
    <t xml:space="preserve">Optimista</t>
  </si>
  <si>
    <t xml:space="preserve">Nota</t>
  </si>
  <si>
    <t xml:space="preserve">Pedidos totales en 12 meses</t>
  </si>
  <si>
    <t xml:space="preserve">Minoristas más mayoreo.</t>
  </si>
  <si>
    <t xml:space="preserve">Cuentas mayoristas activas al cierre</t>
  </si>
  <si>
    <t xml:space="preserve">Ventas netas (sin IVA)</t>
  </si>
  <si>
    <t xml:space="preserve">Costo de producción</t>
  </si>
  <si>
    <t xml:space="preserve">UTILIDAD BRUTA</t>
  </si>
  <si>
    <t xml:space="preserve">Margen bruto</t>
  </si>
  <si>
    <t xml:space="preserve">Anuncios, comisiones, gastos fijos y depreciación</t>
  </si>
  <si>
    <t xml:space="preserve">UTILIDAD OPERATIVA (antes de impuestos)</t>
  </si>
  <si>
    <t xml:space="preserve">ISR · RESICO persona física</t>
  </si>
  <si>
    <t xml:space="preserve">1.0% a 2.5% sobre ingresos cobrados; aplica hasta $3.5 millones al año.</t>
  </si>
  <si>
    <t xml:space="preserve">UTILIDAD NETA · RESICO</t>
  </si>
  <si>
    <t xml:space="preserve">UTILIDAD NETA · persona moral (30% ISR + 10% PTU)</t>
  </si>
  <si>
    <t xml:space="preserve">Alternativa si operas como persona moral con trabajadores.</t>
  </si>
  <si>
    <t xml:space="preserve">Límite RESICO</t>
  </si>
  <si>
    <t xml:space="preserve">Ventas netas necesarias para no perder (punto de equilibrio)</t>
  </si>
  <si>
    <t xml:space="preserve">Anuncios + gastos fijos + depreciación, divididos entre el margen bruto.</t>
  </si>
  <si>
    <t xml:space="preserve">Inversión: equipo e inicial</t>
  </si>
  <si>
    <t xml:space="preserve">Inversión: capital de trabajo</t>
  </si>
  <si>
    <t xml:space="preserve">INVERSIÓN TOTAL NECESARIA</t>
  </si>
  <si>
    <t xml:space="preserve">Recuperación de la inversión (meses)</t>
  </si>
  <si>
    <t xml:space="preserve">Con la utilidad neta RESICO.</t>
  </si>
  <si>
    <t xml:space="preserve">Qué producir en el año (unidades)</t>
  </si>
  <si>
    <t xml:space="preserve">Producto</t>
  </si>
  <si>
    <t xml:space="preserve">Decisión de producción</t>
  </si>
  <si>
    <t xml:space="preserve">Piezas de ficha a fabricar (sueltas y dentro de paquetes), caso base</t>
  </si>
  <si>
    <t xml:space="preserve">Kilos de filamento PLA al año, caso base</t>
  </si>
  <si>
    <t xml:space="preserve">Cómo leer esto</t>
  </si>
  <si>
    <t xml:space="preserve">1. Los costos de producción son de referencia. Solo el precio del filamento ($349 por kilo) tiene fuente. Pesa tus fichas, mide tus minutos de trabajo y pide cotizaciones; el resultado cambia mucho.</t>
  </si>
  <si>
    <t xml:space="preserve">2. Revisa la hoja Costos: si un producto tiene margen negativo a precio de mayoreo, la página de mayoreo lo vende por debajo de tu costo. Ajusta descuentos por producto antes de activarla.</t>
  </si>
  <si>
    <t xml:space="preserve">3. La utilidad neta RESICO parece mucho mayor que la de persona moral porque RESICO grava ingresos y no utilidad. No son comparables sin tu contador: el régimen depende de tu situación.</t>
  </si>
  <si>
    <t xml:space="preserve">4. La última columna de Costos dice qué descuento máximo de mayoreo soporta cada producto con tu margen mínimo. Úsala para fijar los tramos de la página de mayoreo.</t>
  </si>
  <si>
    <t xml:space="preserve">4b. La hoja Tercerizar compara producir contra maquila. Con volumen bajo, el equipo no se paga y conviene tercerizar; con volumen alto, producir gana.</t>
  </si>
  <si>
    <t xml:space="preserve">5. Faltan en el modelo tu sueldo, devoluciones, pérdidas por fichas defectuosas, envíos que absorbas y crédito a clientes mayoristas.</t>
  </si>
  <si>
    <t xml:space="preserve">Supuestos · proyección de 12 meses (nov 2026 a oct 2027)</t>
  </si>
  <si>
    <t xml:space="preserve">Azul = dato editable. Amarillo = lo que más mueve el resultado. No tengo tus ventas ni tus costos reales: todo lo marcado como supuesto debe reemplazarse con tus datos o cotizaciones.</t>
  </si>
  <si>
    <t xml:space="preserve">Demanda minorista</t>
  </si>
  <si>
    <t xml:space="preserve">Unidad</t>
  </si>
  <si>
    <t xml:space="preserve">Fuente o nota</t>
  </si>
  <si>
    <t xml:space="preserve">Pedidos orgánicos por semana al inicio (nov 2026)</t>
  </si>
  <si>
    <t xml:space="preserve">pedidos</t>
  </si>
  <si>
    <t xml:space="preserve">SUPUESTO. Cámbialo por tus pedidos semanales reales (WhatsApp, Instagram y tienda).</t>
  </si>
  <si>
    <t xml:space="preserve">Crecimiento mensual de pedidos orgánicos</t>
  </si>
  <si>
    <t xml:space="preserve">%</t>
  </si>
  <si>
    <t xml:space="preserve">SUPUESTO. Efecto de audiencia, reseñas y recompra.</t>
  </si>
  <si>
    <t xml:space="preserve">Inversión mensual en anuncios</t>
  </si>
  <si>
    <t xml:space="preserve">MXN</t>
  </si>
  <si>
    <t xml:space="preserve">Base = $200 al día, como en la campaña de Facebook.</t>
  </si>
  <si>
    <t xml:space="preserve">CPM (costo por mil impresiones)</t>
  </si>
  <si>
    <t xml:space="preserve">SUPUESTO. Sustituye con el CPM real de tu cuenta.</t>
  </si>
  <si>
    <t xml:space="preserve">CTR de enlace</t>
  </si>
  <si>
    <t xml:space="preserve">SUPUESTO.</t>
  </si>
  <si>
    <t xml:space="preserve">Clic → pedido (tienda y WhatsApp)</t>
  </si>
  <si>
    <t xml:space="preserve">SUPUESTO para tráfico frío de una tienda pequeña.</t>
  </si>
  <si>
    <t xml:space="preserve">Ticket promedio minorista (con IVA)</t>
  </si>
  <si>
    <t xml:space="preserve">Mayoreo</t>
  </si>
  <si>
    <t xml:space="preserve">Cuentas mayoristas nuevas por mes</t>
  </si>
  <si>
    <t xml:space="preserve">cuentas</t>
  </si>
  <si>
    <t xml:space="preserve">SUPUESTO. Depende de cuántos negocios contactes (ver Plan de mayoreo).</t>
  </si>
  <si>
    <t xml:space="preserve">Retención mensual de cuentas</t>
  </si>
  <si>
    <t xml:space="preserve">Pedidos por cuenta activa al mes</t>
  </si>
  <si>
    <t xml:space="preserve">SUPUESTO: una recompra cada 2 meses en el caso base.</t>
  </si>
  <si>
    <t xml:space="preserve">Pedido promedio de mayoreo (sin IVA)</t>
  </si>
  <si>
    <t xml:space="preserve">SUPUESTO. El mínimo es $1,500 a precio público.</t>
  </si>
  <si>
    <t xml:space="preserve">Factor de costos (sensibilidad)</t>
  </si>
  <si>
    <t xml:space="preserve">x</t>
  </si>
  <si>
    <t xml:space="preserve">Multiplica todos los costos de producción: 1.15 = cuestan 15% más de lo estimado.</t>
  </si>
  <si>
    <t xml:space="preserve">Parámetros generales (un solo valor)</t>
  </si>
  <si>
    <t xml:space="preserve">Valor</t>
  </si>
  <si>
    <t xml:space="preserve">Mes en que inicia el mayoreo (1 = nov 2026)</t>
  </si>
  <si>
    <t xml:space="preserve">mes</t>
  </si>
  <si>
    <t xml:space="preserve">SUPUESTO: activar la página y contactar prospectos toma 2 meses.</t>
  </si>
  <si>
    <t xml:space="preserve">Descuento promedio de mayoreo</t>
  </si>
  <si>
    <t xml:space="preserve">Promedio de los tramos de 40%, 45% y 50% de la página de mayoreo.</t>
  </si>
  <si>
    <t xml:space="preserve">Tasa de IVA</t>
  </si>
  <si>
    <t xml:space="preserve">Ley del IVA.</t>
  </si>
  <si>
    <t xml:space="preserve">Precios públicos incluyen IVA (1 = sí, 0 = no)</t>
  </si>
  <si>
    <t xml:space="preserve">1/0</t>
  </si>
  <si>
    <t xml:space="preserve">SUPUESTO. Confirma con tu contador. Los precios de mayoreo se tratan como «más IVA».</t>
  </si>
  <si>
    <t xml:space="preserve">Comisión de pasarela o marketplace sobre ventas minoristas</t>
  </si>
  <si>
    <t xml:space="preserve">SUPUESTO. Revisa la tarifa vigente de Mercado Pago o Conekta.</t>
  </si>
  <si>
    <t xml:space="preserve">Gastos fijos mensuales (espacio, luz, contador, hosting, software)</t>
  </si>
  <si>
    <t xml:space="preserve">SUPUESTO. No incluye tu sueldo.</t>
  </si>
  <si>
    <t xml:space="preserve">Años de depreciación del equipo</t>
  </si>
  <si>
    <t xml:space="preserve">años</t>
  </si>
  <si>
    <t xml:space="preserve">Meses de capital de trabajo</t>
  </si>
  <si>
    <t xml:space="preserve">meses</t>
  </si>
  <si>
    <t xml:space="preserve">SUPUESTO: caja para cubrir 2 meses de costos de operación.</t>
  </si>
  <si>
    <t xml:space="preserve">ISR de persona moral</t>
  </si>
  <si>
    <t xml:space="preserve">Tasa general de la Ley del ISR (no la pude verificar en las búsquedas; confirma con tu contador).</t>
  </si>
  <si>
    <t xml:space="preserve">PTU</t>
  </si>
  <si>
    <t xml:space="preserve">Reparto de utilidades de 10% (no lo pude verificar; aplica solo si tienes trabajadores).</t>
  </si>
  <si>
    <t xml:space="preserve">Costo del filamento PLA</t>
  </si>
  <si>
    <t xml:space="preserve">MXN/kg</t>
  </si>
  <si>
    <t xml:space="preserve">Creality México, PLA 1.75 mm de 1 kg: MX$349 (tienda en línea, oct 2026). Por volumen puede bajar.</t>
  </si>
  <si>
    <t xml:space="preserve">Flete y merma sobre producto tercerizado</t>
  </si>
  <si>
    <t xml:space="preserve">Horas disponibles por impresora 3D al año</t>
  </si>
  <si>
    <t xml:space="preserve">horas</t>
  </si>
  <si>
    <t xml:space="preserve">SUPUESTO: 16 h al día, 330 días, 66% de uso efectivo.</t>
  </si>
  <si>
    <t xml:space="preserve">Mantenimiento anual del equipo (% del costo)</t>
  </si>
  <si>
    <t xml:space="preserve">Horas de impresión por ficha (en lote)</t>
  </si>
  <si>
    <t xml:space="preserve">SUPUESTO. Mide cuántas fichas salen por placa y cuánto tarda.</t>
  </si>
  <si>
    <t xml:space="preserve">Margen mínimo deseado sobre el precio de mayoreo</t>
  </si>
  <si>
    <t xml:space="preserve">SUPUESTO. Sirve para calcular el descuento máximo de mayoreo por producto (hoja Costos, última columna).</t>
  </si>
  <si>
    <t xml:space="preserve">Estacionalidad mensual</t>
  </si>
  <si>
    <t xml:space="preserve">Factor ventas</t>
  </si>
  <si>
    <t xml:space="preserve">Factor CPM</t>
  </si>
  <si>
    <t xml:space="preserve">Nov 2026</t>
  </si>
  <si>
    <t xml:space="preserve">Buen Fin y Día de Muertos. SUPUESTO de estacionalidad.</t>
  </si>
  <si>
    <t xml:space="preserve">Dic 2026</t>
  </si>
  <si>
    <t xml:space="preserve">Navidad, posadas y aguinaldo</t>
  </si>
  <si>
    <t xml:space="preserve">Ene 2027</t>
  </si>
  <si>
    <t xml:space="preserve">Cuesta de enero</t>
  </si>
  <si>
    <t xml:space="preserve">Feb 2027</t>
  </si>
  <si>
    <t xml:space="preserve">14 de febrero</t>
  </si>
  <si>
    <t xml:space="preserve">Mar 2027</t>
  </si>
  <si>
    <t xml:space="preserve">Abr 2027</t>
  </si>
  <si>
    <t xml:space="preserve">May 2027</t>
  </si>
  <si>
    <t xml:space="preserve">Día de las Madres y del Maestro</t>
  </si>
  <si>
    <t xml:space="preserve">Jun 2027</t>
  </si>
  <si>
    <t xml:space="preserve">Colección Pride</t>
  </si>
  <si>
    <t xml:space="preserve">Jul 2027</t>
  </si>
  <si>
    <t xml:space="preserve">Vacaciones de verano</t>
  </si>
  <si>
    <t xml:space="preserve">Ago 2027</t>
  </si>
  <si>
    <t xml:space="preserve">Regreso a clases</t>
  </si>
  <si>
    <t xml:space="preserve">Sep 2027</t>
  </si>
  <si>
    <t xml:space="preserve">Fiestas Patrias: lotería</t>
  </si>
  <si>
    <t xml:space="preserve">Oct 2027</t>
  </si>
  <si>
    <t xml:space="preserve">Día de Muertos</t>
  </si>
  <si>
    <t xml:space="preserve">Los factores son supuestos razonables para el comercio de regalos en México; sustitúyelos con tu propio historial cuando lo tengas.</t>
  </si>
  <si>
    <t xml:space="preserve">Precio público (MXN)</t>
  </si>
  <si>
    <t xml:space="preserve">Peso minorista</t>
  </si>
  <si>
    <t xml:space="preserve">Peso mayoreo</t>
  </si>
  <si>
    <t xml:space="preserve">Equipo</t>
  </si>
  <si>
    <t xml:space="preserve">Fichas de lotería sueltas</t>
  </si>
  <si>
    <t xml:space="preserve">3D</t>
  </si>
  <si>
    <t xml:space="preserve">Precio de la tienda.</t>
  </si>
  <si>
    <t xml:space="preserve">Paquete de 25 fichas</t>
  </si>
  <si>
    <t xml:space="preserve">Paquete de 50 fichas</t>
  </si>
  <si>
    <t xml:space="preserve">Paquete de 100 fichas</t>
  </si>
  <si>
    <t xml:space="preserve">Tazas personalizadas</t>
  </si>
  <si>
    <t xml:space="preserve">Sublimación</t>
  </si>
  <si>
    <t xml:space="preserve">Promedio de 2 tazas ($150 y $245).</t>
  </si>
  <si>
    <t xml:space="preserve">Vasos y termos personalizados</t>
  </si>
  <si>
    <t xml:space="preserve">Láser</t>
  </si>
  <si>
    <t xml:space="preserve">Promedio ponderado de 10 modelos.</t>
  </si>
  <si>
    <t xml:space="preserve">Agendas</t>
  </si>
  <si>
    <t xml:space="preserve">Herramientas</t>
  </si>
  <si>
    <t xml:space="preserve">Promedio de 6 modelos.</t>
  </si>
  <si>
    <t xml:space="preserve">Libretas</t>
  </si>
  <si>
    <t xml:space="preserve">Sellos (madera, autoentintables y cera)</t>
  </si>
  <si>
    <t xml:space="preserve">Impresión 3D y otros personalizados</t>
  </si>
  <si>
    <t xml:space="preserve">A cotizar en la tienda; $600 es supuesto.</t>
  </si>
  <si>
    <t xml:space="preserve">Mini CD con NFC</t>
  </si>
  <si>
    <t xml:space="preserve">Precio de promoción.</t>
  </si>
  <si>
    <t xml:space="preserve">Promedio ponderado.</t>
  </si>
  <si>
    <t xml:space="preserve">Kits y regalos de temporada</t>
  </si>
  <si>
    <t xml:space="preserve">A cotizar en la tienda; $900 es supuesto.</t>
  </si>
  <si>
    <t xml:space="preserve">Suma de pesos</t>
  </si>
  <si>
    <t xml:space="preserve">Demanda e ingresos por mes y escenario</t>
  </si>
  <si>
    <t xml:space="preserve">Anuncios: inversión ÷ CPM → clics → pedidos. Más pedidos orgánicos con crecimiento y estacionalidad. Más mayoreo: cuentas activas × pedidos × pedido promedio.</t>
  </si>
  <si>
    <t xml:space="preserve">ESCENARIO CONSERVADOR</t>
  </si>
  <si>
    <t xml:space="preserve">Concepto</t>
  </si>
  <si>
    <t xml:space="preserve">Total 12 meses</t>
  </si>
  <si>
    <t xml:space="preserve">Número de mes</t>
  </si>
  <si>
    <t xml:space="preserve">Factor estacional de ventas</t>
  </si>
  <si>
    <t xml:space="preserve">Factor estacional de CPM</t>
  </si>
  <si>
    <t xml:space="preserve">Inversión en anuncios (MXN)</t>
  </si>
  <si>
    <t xml:space="preserve">Impresiones</t>
  </si>
  <si>
    <t xml:space="preserve">Clics</t>
  </si>
  <si>
    <t xml:space="preserve">Conversión efectiva</t>
  </si>
  <si>
    <t xml:space="preserve">Pedidos por anuncios</t>
  </si>
  <si>
    <t xml:space="preserve">Pedidos orgánicos</t>
  </si>
  <si>
    <t xml:space="preserve">Pedidos minoristas totales</t>
  </si>
  <si>
    <t xml:space="preserve">Ventas minoristas con IVA (MXN)</t>
  </si>
  <si>
    <t xml:space="preserve">Ventas minoristas netas, sin IVA (MXN)</t>
  </si>
  <si>
    <t xml:space="preserve">Cuentas mayoristas nuevas</t>
  </si>
  <si>
    <t xml:space="preserve">Cuentas mayoristas activas</t>
  </si>
  <si>
    <t xml:space="preserve">Pedidos de mayoreo</t>
  </si>
  <si>
    <t xml:space="preserve">Ventas de mayoreo, sin IVA (MXN)</t>
  </si>
  <si>
    <t xml:space="preserve">VENTAS NETAS TOTALES (MXN)</t>
  </si>
  <si>
    <t xml:space="preserve">ESCENARIO BASE</t>
  </si>
  <si>
    <t xml:space="preserve">ESCENARIO OPTIMISTA</t>
  </si>
  <si>
    <t xml:space="preserve">Costo por unidad: producir tú o tercerizar</t>
  </si>
  <si>
    <t xml:space="preserve">Costos de referencia: el filamento sale del precio de Creality México; el resto son SUPUESTOS. Pesa tus piezas, mide tus minutos y pide cotizaciones, y sustituye las celdas azules.</t>
  </si>
  <si>
    <t xml:space="preserve">Precio público</t>
  </si>
  <si>
    <t xml:space="preserve">Precio neto minorista</t>
  </si>
  <si>
    <t xml:space="preserve">Precio mayoreo neto</t>
  </si>
  <si>
    <t xml:space="preserve">PLA (g)</t>
  </si>
  <si>
    <t xml:space="preserve">Otros materiales</t>
  </si>
  <si>
    <t xml:space="preserve">Mano de obra</t>
  </si>
  <si>
    <t xml:space="preserve">Máquina y energía</t>
  </si>
  <si>
    <t xml:space="preserve">Empaque</t>
  </si>
  <si>
    <t xml:space="preserve">COSTO PROPIO</t>
  </si>
  <si>
    <t xml:space="preserve">Maquila ÷ costo propio</t>
  </si>
  <si>
    <t xml:space="preserve">COSTO TERCERIZADO</t>
  </si>
  <si>
    <t xml:space="preserve">Decisión</t>
  </si>
  <si>
    <t xml:space="preserve">COSTO USADO</t>
  </si>
  <si>
    <t xml:space="preserve">Margen minorista</t>
  </si>
  <si>
    <t xml:space="preserve">Margen mayoreo</t>
  </si>
  <si>
    <t xml:space="preserve">Unid./año cons.</t>
  </si>
  <si>
    <t xml:space="preserve">Unid./año base</t>
  </si>
  <si>
    <t xml:space="preserve">Unid./año optim.</t>
  </si>
  <si>
    <t xml:space="preserve">Descuento máximo de mayoreo</t>
  </si>
  <si>
    <t xml:space="preserve">Costo ÷ precio neto, minorista (todos los productos)</t>
  </si>
  <si>
    <t xml:space="preserve">Costo ÷ precio neto, mayoreo (todos los productos)</t>
  </si>
  <si>
    <t xml:space="preserve">Margen negativo = vendes por debajo de tu costo. Revisa sobre todo los paquetes de fichas a precio de mayoreo: el descuento de 40% a 50% puede dejarlos en pérdida con estos costos.</t>
  </si>
  <si>
    <t xml:space="preserve">¿Producir tú o tercerizar? · caso base</t>
  </si>
  <si>
    <t xml:space="preserve">Compara el costo anual de producir (variable + equipo) con el de pagar maquila. Si el volumen no cubre el equipo, conviene tercerizar. Los precios de maquila son SUPUESTOS hasta que cotices.</t>
  </si>
  <si>
    <t xml:space="preserve">Grupo de producción</t>
  </si>
  <si>
    <t xml:space="preserve">Productos</t>
  </si>
  <si>
    <t xml:space="preserve">Unidades por año</t>
  </si>
  <si>
    <t xml:space="preserve">Costo variable propio</t>
  </si>
  <si>
    <t xml:space="preserve">Costo de tercerizar</t>
  </si>
  <si>
    <t xml:space="preserve">Equipo (costo)</t>
  </si>
  <si>
    <t xml:space="preserve">Costo fijo anual</t>
  </si>
  <si>
    <t xml:space="preserve">Costo total de producir</t>
  </si>
  <si>
    <t xml:space="preserve">Ahorro si tercerizas</t>
  </si>
  <si>
    <t xml:space="preserve">Recomendación</t>
  </si>
  <si>
    <t xml:space="preserve">Punto de equilibrio (unid./año)</t>
  </si>
  <si>
    <t xml:space="preserve">Impresión 3D (fichas, paquetes y piezas a medida)</t>
  </si>
  <si>
    <t xml:space="preserve">Láser (vasos, termos y sellos)</t>
  </si>
  <si>
    <t xml:space="preserve">Sublimación (tazas y Colección Pride)</t>
  </si>
  <si>
    <t xml:space="preserve">Libretas, agendas, Mini CD y kits</t>
  </si>
  <si>
    <t xml:space="preserve">Ahorro positivo = tercerizar cuesta menos que producir. El punto de equilibrio es el volumen anual a partir del cual producir sale más barato.</t>
  </si>
  <si>
    <t xml:space="preserve">La recomendación decide el costo usado en las hojas Costos, Resultados e Inversión. Para forzar otra decisión, cambia las fórmulas de la columna Decisión en la hoja Costos.</t>
  </si>
  <si>
    <t xml:space="preserve">Lectura cualitativa (no está en los números)</t>
  </si>
  <si>
    <t xml:space="preserve">• Calidad y marca: las fichas son tu producto insignia y llevan acabado a mano. Tercerizarlas expone el diseño y el control de calidad.</t>
  </si>
  <si>
    <t xml:space="preserve">• Propiedad intelectual: varios diseños reproducen marcas de terceros. Un maquilador serio puede negarse a fabricarlos sin licencia.</t>
  </si>
  <si>
    <t xml:space="preserve">• Capacidad: producir te limita a las horas de tus impresoras; tercerizar permite absorber el pico de diciembre sin comprar equipo.</t>
  </si>
  <si>
    <t xml:space="preserve">• Caja: tercerizar convierte la inversión en equipo en costo variable y reduce el capital inicial, a cambio de menos margen.</t>
  </si>
  <si>
    <t xml:space="preserve">• Recomendación práctica: producir tú lo que da identidad (fichas y paquetes) y comprar insumo para personalizar o tercerizar lo que es commodity (blancos de tazas, vasos, libretas, agendas).</t>
  </si>
  <si>
    <t xml:space="preserve">Inversión inicial</t>
  </si>
  <si>
    <t xml:space="preserve">El equipo solo cuenta si la hoja Tercerizar recomienda producir ese grupo. Los precios del equipo son SUPUESTOS: pide cotizaciones.</t>
  </si>
  <si>
    <t xml:space="preserve">Cantidad</t>
  </si>
  <si>
    <t xml:space="preserve">Costo unitario (MXN)</t>
  </si>
  <si>
    <t xml:space="preserve">Costo total (MXN)</t>
  </si>
  <si>
    <t xml:space="preserve">Grupo</t>
  </si>
  <si>
    <t xml:space="preserve">¿Se compra?</t>
  </si>
  <si>
    <t xml:space="preserve">Impresoras 3D (cantidad según capacidad)</t>
  </si>
  <si>
    <t xml:space="preserve">SUPUESTO de precio. La cantidad sale de las fichas del caso base × horas por ficha ÷ horas por impresora.</t>
  </si>
  <si>
    <t xml:space="preserve">Grabadora láser (vasos, termos y sellos)</t>
  </si>
  <si>
    <t xml:space="preserve">SUPUESTO. Cotiza láser de fibra o diodo según material.</t>
  </si>
  <si>
    <t xml:space="preserve">Equipo de sublimación (prensa, impresora y papel inicial)</t>
  </si>
  <si>
    <t xml:space="preserve">Herramientas, mesas de trabajo y empaque</t>
  </si>
  <si>
    <t xml:space="preserve">Registro de marca, fotografía y diseño de marca</t>
  </si>
  <si>
    <t xml:space="preserve">Sí</t>
  </si>
  <si>
    <t xml:space="preserve">SUPUESTO. Conviene proteger la marca antes de escalar.</t>
  </si>
  <si>
    <t xml:space="preserve">Equipo e inversión inicial incluidos (MXN)</t>
  </si>
  <si>
    <t xml:space="preserve">Necesidad total de inversión</t>
  </si>
  <si>
    <t xml:space="preserve">Equipo e inversión inicial (de arriba)</t>
  </si>
  <si>
    <t xml:space="preserve">Solo lo que recomienda producir la hoja Tercerizar.</t>
  </si>
  <si>
    <t xml:space="preserve">Capital de trabajo (costos de operación de N meses)</t>
  </si>
  <si>
    <t xml:space="preserve">Producción, comisiones, anuncios y gastos fijos.</t>
  </si>
  <si>
    <t xml:space="preserve">INVERSIÓN TOTAL NECESARIA (MXN)</t>
  </si>
  <si>
    <t xml:space="preserve">Utilidad neta anual · RESICO (MXN)</t>
  </si>
  <si>
    <t xml:space="preserve">Inversión total ÷ utilidad neta mensual promedio.</t>
  </si>
  <si>
    <t xml:space="preserve">Retorno sobre la inversión del primer año</t>
  </si>
  <si>
    <t xml:space="preserve">Estado de resultados mensual</t>
  </si>
  <si>
    <t xml:space="preserve">ISR RESICO: tasa sobre ingresos cobrados sin IVA (1.0% a 2.5%, hasta $3.5 millones al año). Persona moral: 30% sobre utilidad y PTU de 10%. Confirma tu régimen con tu contador.</t>
  </si>
  <si>
    <t xml:space="preserve">Ventas minoristas netas</t>
  </si>
  <si>
    <t xml:space="preserve">Ventas de mayoreo netas</t>
  </si>
  <si>
    <t xml:space="preserve">VENTAS NETAS</t>
  </si>
  <si>
    <t xml:space="preserve">Costo de producción minorista</t>
  </si>
  <si>
    <t xml:space="preserve">Costo de producción mayoreo</t>
  </si>
  <si>
    <t xml:space="preserve">Comisiones de pasarela y marketplace</t>
  </si>
  <si>
    <t xml:space="preserve">Anuncios</t>
  </si>
  <si>
    <t xml:space="preserve">Gastos fijos</t>
  </si>
  <si>
    <t xml:space="preserve">Depreciación del equipo</t>
  </si>
  <si>
    <t xml:space="preserve">ISR RESICO (persona física)</t>
  </si>
  <si>
    <t xml:space="preserve">ISR persona moral</t>
  </si>
  <si>
    <t xml:space="preserve">UTILIDAD NETA · persona moral</t>
  </si>
  <si>
    <t xml:space="preserve">Ingresos del año frente al límite RESICO ($3.5 millones)</t>
  </si>
  <si>
    <t xml:space="preserve">Utilidad operativa acumulada</t>
  </si>
  <si>
    <t xml:space="preserve">Proveedores de insumos y maquila · candidatos para cotizar</t>
  </si>
  <si>
    <t xml:space="preserve">Los encontré en búsquedas públicas en octubre de 2026. No verifiqué su existencia actual, precios, mínimos ni reputación: tómalos como lista de partida y pide cotización a varios.</t>
  </si>
  <si>
    <t xml:space="preserve">Insumo o servicio</t>
  </si>
  <si>
    <t xml:space="preserve">Candidato</t>
  </si>
  <si>
    <t xml:space="preserve">Qué se encontró</t>
  </si>
  <si>
    <t xml:space="preserve">Cómo contactarlo</t>
  </si>
  <si>
    <t xml:space="preserve">Estado</t>
  </si>
  <si>
    <t xml:space="preserve">Filamento PLA</t>
  </si>
  <si>
    <t xml:space="preserve">Creality México (tienda en línea)</t>
  </si>
  <si>
    <t xml:space="preserve">PLA 1.75 mm de 1 kg en MX$349; oferta de 15% al comprar 2 carretes. Hyper PLA en MX$419.</t>
  </si>
  <si>
    <t xml:space="preserve">store.creality.com/mx; pide precio por volumen.</t>
  </si>
  <si>
    <t xml:space="preserve">Precio visible</t>
  </si>
  <si>
    <t xml:space="preserve">Sunlu</t>
  </si>
  <si>
    <t xml:space="preserve">PLA+ de 1 kg con paquete de pedido mínimo de 6 kg, precio de lista de US$11.99. Confirma moneda, impuestos de importación y envío a México.</t>
  </si>
  <si>
    <t xml:space="preserve">sunlu.com/es</t>
  </si>
  <si>
    <t xml:space="preserve">Por cotizar</t>
  </si>
  <si>
    <t xml:space="preserve">P3D México</t>
  </si>
  <si>
    <t xml:space="preserve">Paquete de 10 kg de PLA para impresora 3D. No se vio el precio.</t>
  </si>
  <si>
    <t xml:space="preserve">p3d.mx</t>
  </si>
  <si>
    <t xml:space="preserve">Mercado Libre y Sears México</t>
  </si>
  <si>
    <t xml:space="preserve">Listados de carretes de PLA de 1 kg de varios vendedores.</t>
  </si>
  <si>
    <t xml:space="preserve">Mercado Libre; sears.com.mx</t>
  </si>
  <si>
    <t xml:space="preserve">Precio de menudeo</t>
  </si>
  <si>
    <t xml:space="preserve">Maquila de impresión 3D</t>
  </si>
  <si>
    <t xml:space="preserve">3DLAB Impresión 3D</t>
  </si>
  <si>
    <t xml:space="preserve">Aparece en el directorio Ensun como proveedor de manufactura aditiva para empresas. No se confirmó si hace series de piezas pequeñas.</t>
  </si>
  <si>
    <t xml:space="preserve">Busca su sitio y pide cotización por gramo y por lote.</t>
  </si>
  <si>
    <t xml:space="preserve">Sin verificar</t>
  </si>
  <si>
    <t xml:space="preserve">3D Factory MX</t>
  </si>
  <si>
    <t xml:space="preserve">Mencionada en 2022 en una alianza con Roboze en Monterrey. Orientada a industria; confirma si acepta pedidos pequeños.</t>
  </si>
  <si>
    <t xml:space="preserve">Busca su sitio y pide cotización.</t>
  </si>
  <si>
    <t xml:space="preserve">Bojä3d (directorio)</t>
  </si>
  <si>
    <t xml:space="preserve">Directorio de manufactura aditiva en México; lista servicios de HP Multi Jet Fusion (ubicación indicada en Querétaro).</t>
  </si>
  <si>
    <t xml:space="preserve">Consulta el directorio y pide cotización a varios talleres.</t>
  </si>
  <si>
    <t xml:space="preserve">Granjas de impresión locales</t>
  </si>
  <si>
    <t xml:space="preserve">Pequeños talleres con varias impresoras. No encontré nombres verificables en Monterrey.</t>
  </si>
  <si>
    <t xml:space="preserve">Pregunta en grupos de Facebook de impresión 3D de Nuevo León y en Mercado Libre.</t>
  </si>
  <si>
    <t xml:space="preserve">Por buscar</t>
  </si>
  <si>
    <t xml:space="preserve">Tazas para sublimar</t>
  </si>
  <si>
    <t xml:space="preserve">Vendedores en Mercado Libre</t>
  </si>
  <si>
    <t xml:space="preserve">Cajas de 36 tazas blancas de 11 y 15 oz entre unos $900 y $2,100 por caja (listados; pueden haber cambiado).</t>
  </si>
  <si>
    <t xml:space="preserve">Mercado Libre; compara por grado AAA.</t>
  </si>
  <si>
    <t xml:space="preserve">Tazas, vasos y termos para personalizar</t>
  </si>
  <si>
    <t xml:space="preserve">Directorio Cosmos</t>
  </si>
  <si>
    <t xml:space="preserve">Muchos proveedores de tazas para sublimación, sobre todo en CDMX y Estado de México; también Jalisco, Nuevo León y Chihuahua. Algunos son fabricantes y otros distribuidores.</t>
  </si>
  <si>
    <t xml:space="preserve">cosmos.com.mx → Tazas para sublimación; pide cotización a 3 o más.</t>
  </si>
  <si>
    <t xml:space="preserve">Sellos autoentintables y de madera</t>
  </si>
  <si>
    <t xml:space="preserve">Sellox</t>
  </si>
  <si>
    <t xml:space="preserve">Se anuncia como distribuidor de sellos y suministros de grabado láser, con precio de mayoreo desde una pieza. Su afirmación de exclusividad es publicidad de la empresa.</t>
  </si>
  <si>
    <t xml:space="preserve">Directorio Cosmos; pide muestras y precios.</t>
  </si>
  <si>
    <t xml:space="preserve">Rino (Sellos de Goma Rino)</t>
  </si>
  <si>
    <t xml:space="preserve">Fabricante con sucursales, incluida una en Nuevo León según el directorio. Hace sellos autoentintables y de madera.</t>
  </si>
  <si>
    <t xml:space="preserve">Directorio Cosmos.</t>
  </si>
  <si>
    <t xml:space="preserve">Grupo Arcel, Sellos Jet, Sellos Excelsior</t>
  </si>
  <si>
    <t xml:space="preserve">Empresas del rubro listadas en el directorio, con cobertura nacional.</t>
  </si>
  <si>
    <t xml:space="preserve">Sellos autoentintables</t>
  </si>
  <si>
    <t xml:space="preserve">Fábricas de China (Made-in-China, Alibaba)</t>
  </si>
  <si>
    <t xml:space="preserve">Fábricas de sellos autoentintables. Es importación: calcula aduana, impuestos, tiempo y mínimos.</t>
  </si>
  <si>
    <t xml:space="preserve">es.made-in-china.com; spanish.alibaba.com</t>
  </si>
  <si>
    <t xml:space="preserve">Importación</t>
  </si>
  <si>
    <t xml:space="preserve">Sellos de cera</t>
  </si>
  <si>
    <t xml:space="preserve">Distribuidores de sellos de cera</t>
  </si>
  <si>
    <t xml:space="preserve">El directorio lista distribuidores en Nuevo León, Michoacán y Estado de México.</t>
  </si>
  <si>
    <t xml:space="preserve">Directorio Cosmos → Sellos de cera.</t>
  </si>
  <si>
    <t xml:space="preserve">Agendas, Carpetas y Sellados de Jalisco</t>
  </si>
  <si>
    <t xml:space="preserve">Taller en Guadalajara que vende agendas al mayoreo y menudeo.</t>
  </si>
  <si>
    <t xml:space="preserve">Libretas de arillo y papel</t>
  </si>
  <si>
    <t xml:space="preserve">Sin proveedor verificado</t>
  </si>
  <si>
    <t xml:space="preserve">No encontré un mayorista de libretas de arillo en las búsquedas. Prueba con «libretas de arillo mayoreo» y «papelería al mayoreo» en tu ciudad.</t>
  </si>
  <si>
    <t xml:space="preserve">Mercado Libre, papelerías mayoristas locales y directorios.</t>
  </si>
  <si>
    <t xml:space="preserve">Chips NFC y empaque</t>
  </si>
  <si>
    <t xml:space="preserve">No investigué proveedores de chips NFC, cajas ni bolsas. Se consiguen con distribuidores locales y plataformas de importación.</t>
  </si>
  <si>
    <t xml:space="preserve">Pide cotización a 3 proveedores por cada insumo.</t>
  </si>
  <si>
    <t xml:space="preserve">Playeras, gorras y tote bags en blanco</t>
  </si>
  <si>
    <t xml:space="preserve">No investigué proveedores de prendas en blanco ni de impresión DTF.</t>
  </si>
  <si>
    <t xml:space="preserve">Busca mayoristas textiles y talleres de DTF en tu ciudad.</t>
  </si>
  <si>
    <t xml:space="preserve">Cartera objetivo de clientes mayoristas (12 meses, caso base)</t>
  </si>
  <si>
    <t xml:space="preserve">Las cuentas salen de la hoja Demanda; el reparto por segmento es un supuesto que puedes cambiar. Cómo encontrar y contactar a cada uno está en el plan de mayoreo.</t>
  </si>
  <si>
    <t xml:space="preserve">Segmento</t>
  </si>
  <si>
    <t xml:space="preserve">Reparto de cuentas</t>
  </si>
  <si>
    <t xml:space="preserve">Cuentas objetivo (cierre de 12 meses)</t>
  </si>
  <si>
    <t xml:space="preserve">Qué compran</t>
  </si>
  <si>
    <t xml:space="preserve">Prioridad</t>
  </si>
  <si>
    <t xml:space="preserve">Papelerías y tiendas de regalos</t>
  </si>
  <si>
    <t xml:space="preserve">Fichas, paquetes, libretas y sellos</t>
  </si>
  <si>
    <t xml:space="preserve">Alta</t>
  </si>
  <si>
    <t xml:space="preserve">Juegos de mesa, hobby y coleccionables</t>
  </si>
  <si>
    <t xml:space="preserve">Paquetes de 25, 50 y 100</t>
  </si>
  <si>
    <t xml:space="preserve">Eventos, bodas y empresas</t>
  </si>
  <si>
    <t xml:space="preserve">Drinkware, agendas, sellos y kits</t>
  </si>
  <si>
    <t xml:space="preserve">Souvenirs, hoteles boutique y museos</t>
  </si>
  <si>
    <t xml:space="preserve">Fichas, paquetes y Mini CD</t>
  </si>
  <si>
    <t xml:space="preserve">Media</t>
  </si>
  <si>
    <t xml:space="preserve">Cafeterías y bares temáticos</t>
  </si>
  <si>
    <t xml:space="preserve">Paquetes y termos con logo</t>
  </si>
  <si>
    <t xml:space="preserve">Escuelas y papelerías escolares</t>
  </si>
  <si>
    <t xml:space="preserve">Sellos y libretas</t>
  </si>
  <si>
    <t xml:space="preserve">Bazares y ferias artesanales</t>
  </si>
  <si>
    <t xml:space="preserve">Fichas, paquetes y stickers</t>
  </si>
  <si>
    <t xml:space="preserve">Tiendas y cafés LGBT+ y librerías</t>
  </si>
  <si>
    <t xml:space="preserve">Total</t>
  </si>
  <si>
    <t xml:space="preserve">Fuentes consultadas (octubre de 2026)</t>
  </si>
  <si>
    <t xml:space="preserve">Dato</t>
  </si>
  <si>
    <t xml:space="preserve">Fuente</t>
  </si>
  <si>
    <t xml:space="preserve">RESICO: tasas de 1% a 2.5% sobre ingresos cobrados, hasta $3.5 millones al año</t>
  </si>
  <si>
    <t xml:space="preserve">https://www.satfacil.com.mx/blog/regimen-simplificado-confianza-resico-guia-2026 y https://facturama.mx/blog/tablas-resico/. Los tramos mensuales usados (1.0%, 1.1%, 1.5%, 2.0%, 2.5%) son los del Art. 113-E de la Ley del ISR; verifícalos con tu contador.</t>
  </si>
  <si>
    <t xml:space="preserve">Precio del filamento PLA de 1 kg: MX$349</t>
  </si>
  <si>
    <t xml:space="preserve">https://store.creality.com/mx/collections/creality-filamentos-pla</t>
  </si>
  <si>
    <t xml:space="preserve">Filamento PLA+ de Sunlu con pedido mínimo de 6 kg</t>
  </si>
  <si>
    <t xml:space="preserve">https://www.sunlu.com/es/products/over-6kg-bundle-sale-pla-and-pla-plus-pla-meta-macaron-filament1kg-roll</t>
  </si>
  <si>
    <t xml:space="preserve">Paquete de 10 kg de PLA</t>
  </si>
  <si>
    <t xml:space="preserve">https://p3d.mx/products/10kg-pla-filamento-pla-impresora-3d</t>
  </si>
  <si>
    <t xml:space="preserve">Tazas para sublimar: cajas de 36 en Mercado Libre</t>
  </si>
  <si>
    <t xml:space="preserve">https://listado.mercadolibre.com.mx/caja-36-taza-sublimar y directorio https://www.cosmos.com.mx/producto/tazas-4jby/</t>
  </si>
  <si>
    <t xml:space="preserve">Proveedores de sellos (Sellox, Rino, Grupo Arcel, Sellos Jet, Sellos Excelsior)</t>
  </si>
  <si>
    <t xml:space="preserve">https://www.cosmos.com.mx/empresa/sellox-bts8.html y https://www.cosmos.com.mx/producto/sellos-4t4t/sellos-autoentintables-cg4l/</t>
  </si>
  <si>
    <t xml:space="preserve">https://www.cosmos.com.mx/empresa/agendas-3srs.html</t>
  </si>
  <si>
    <t xml:space="preserve">Mercado de impresión 3D en México y proveedores industriales</t>
  </si>
  <si>
    <t xml:space="preserve">https://www.imarcgroup.com/report/es/mexico-3d-printing-market y https://ensun.io/search/3d-printing/mexico</t>
  </si>
  <si>
    <t xml:space="preserve">Demanda de mercado, consumo per cápita y Buen Fin</t>
  </si>
  <si>
    <t xml:space="preserve">Ver el archivo de proyección de noviembre y diciembre (hoja Fuentes).</t>
  </si>
  <si>
    <t xml:space="preserve">Todo lo demás (costos de mano de obra, equipo, maquila, mezcla, estacionalidad, crecimiento)</t>
  </si>
  <si>
    <t xml:space="preserve">Supuestos del modelo sin fuente pública. Sustitúyelos con tus datos y cotizaciones.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</si>
</sst>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#,##0.0;\(#,##0.0\);\-"/>
    <numFmt numFmtId="167" formatCode="\$#,##0;&quot;($&quot;#,##0\);\-"/>
    <numFmt numFmtId="168" formatCode="0.0%;\(0.0%\);\-"/>
    <numFmt numFmtId="169" formatCode="0.00%;\(0.00%\);\-"/>
    <numFmt numFmtId="170" formatCode="0.00;\(0.00\);\-"/>
    <numFmt numFmtId="171" formatCode="\$#,##0.00;&quot;($&quot;#,##0.0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5104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25104F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6C63C7"/>
        <bgColor rgb="FF808080"/>
      </patternFill>
    </fill>
    <fill>
      <patternFill patternType="solid">
        <fgColor rgb="FFFFE9A8"/>
        <bgColor rgb="FFFFC7CE"/>
      </patternFill>
    </fill>
    <fill>
      <patternFill patternType="solid">
        <fgColor rgb="FFFFFF00"/>
        <bgColor rgb="FFFFFF00"/>
      </patternFill>
    </fill>
    <fill>
      <patternFill patternType="solid">
        <fgColor rgb="FFEFEBFF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0006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25104F"/>
      <rgbColor rgb="FF808000"/>
      <rgbColor rgb="FF800080"/>
      <rgbColor rgb="FF008080"/>
      <rgbColor rgb="FFC0C0C0"/>
      <rgbColor rgb="FF808080"/>
      <rgbColor rgb="FF9999FF"/>
      <rgbColor rgb="FF993366"/>
      <rgbColor rgb="FFEFEBF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A8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C63C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8"/>
    <col collapsed="false" customWidth="true" hidden="false" outlineLevel="0" max="5" min="5" style="0" width="5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false" outlineLevel="0" collapsed="false">
      <c r="A5" s="5" t="s">
        <v>7</v>
      </c>
      <c r="B5" s="6" t="n">
        <f aca="false">Demanda!N15+Demanda!N20</f>
        <v>327.19829061058</v>
      </c>
      <c r="C5" s="6" t="n">
        <f aca="false">Demanda!N35+Demanda!N40</f>
        <v>751.350000567062</v>
      </c>
      <c r="D5" s="6" t="n">
        <f aca="false">Demanda!N55+Demanda!N60</f>
        <v>1610.39293585446</v>
      </c>
      <c r="E5" s="7" t="s">
        <v>8</v>
      </c>
    </row>
    <row r="6" customFormat="false" ht="15" hidden="false" customHeight="false" outlineLevel="0" collapsed="false">
      <c r="A6" s="5" t="s">
        <v>9</v>
      </c>
      <c r="B6" s="8" t="n">
        <f aca="false">Demanda!N19</f>
        <v>6.513215599</v>
      </c>
      <c r="C6" s="8" t="n">
        <f aca="false">Demanda!N39</f>
        <v>14.7433626520202</v>
      </c>
      <c r="D6" s="8" t="n">
        <f aca="false">Demanda!N59</f>
        <v>32.1010448609297</v>
      </c>
      <c r="E6" s="7"/>
    </row>
    <row r="7" customFormat="false" ht="15" hidden="false" customHeight="false" outlineLevel="0" collapsed="false">
      <c r="A7" s="9" t="s">
        <v>10</v>
      </c>
      <c r="B7" s="10" t="n">
        <f aca="false">Resultados!N8</f>
        <v>111366.222919876</v>
      </c>
      <c r="C7" s="10" t="n">
        <f aca="false">Resultados!N32</f>
        <v>335239.357199995</v>
      </c>
      <c r="D7" s="10" t="n">
        <f aca="false">Resultados!N56</f>
        <v>931959.850723502</v>
      </c>
      <c r="E7" s="7"/>
    </row>
    <row r="8" customFormat="false" ht="15" hidden="false" customHeight="false" outlineLevel="0" collapsed="false">
      <c r="A8" s="5" t="s">
        <v>11</v>
      </c>
      <c r="B8" s="11" t="n">
        <f aca="false">Resultados!N9+Resultados!N10</f>
        <v>88113.4932117809</v>
      </c>
      <c r="C8" s="11" t="n">
        <f aca="false">Resultados!N33+Resultados!N34</f>
        <v>242793.749306425</v>
      </c>
      <c r="D8" s="11" t="n">
        <f aca="false">Resultados!N57+Resultados!N58</f>
        <v>631824.613350474</v>
      </c>
      <c r="E8" s="7"/>
    </row>
    <row r="9" customFormat="false" ht="15" hidden="false" customHeight="false" outlineLevel="0" collapsed="false">
      <c r="A9" s="12" t="s">
        <v>12</v>
      </c>
      <c r="B9" s="13" t="n">
        <f aca="false">Resultados!N11</f>
        <v>23252.7297080948</v>
      </c>
      <c r="C9" s="13" t="n">
        <f aca="false">Resultados!N35</f>
        <v>92445.6078935707</v>
      </c>
      <c r="D9" s="13" t="n">
        <f aca="false">Resultados!N59</f>
        <v>300135.237373029</v>
      </c>
      <c r="E9" s="7"/>
    </row>
    <row r="10" customFormat="false" ht="15" hidden="false" customHeight="false" outlineLevel="0" collapsed="false">
      <c r="A10" s="5" t="s">
        <v>13</v>
      </c>
      <c r="B10" s="14" t="n">
        <f aca="false">Resultados!N12</f>
        <v>0.208795172346146</v>
      </c>
      <c r="C10" s="14" t="n">
        <f aca="false">Resultados!N36</f>
        <v>0.275760008209358</v>
      </c>
      <c r="D10" s="14" t="n">
        <f aca="false">Resultados!N60</f>
        <v>0.322047389852714</v>
      </c>
      <c r="E10" s="7"/>
    </row>
    <row r="11" customFormat="false" ht="15" hidden="false" customHeight="false" outlineLevel="0" collapsed="false">
      <c r="A11" s="5" t="s">
        <v>14</v>
      </c>
      <c r="B11" s="11" t="n">
        <f aca="false">Resultados!N13+Resultados!N14+Resultados!N15+Resultados!N16</f>
        <v>142677.564130615</v>
      </c>
      <c r="C11" s="11" t="n">
        <f aca="false">Resultados!N37+Resultados!N38+Resultados!N39+Resultados!N40</f>
        <v>173433.633121677</v>
      </c>
      <c r="D11" s="11" t="n">
        <f aca="false">Resultados!N61+Resultados!N62+Resultados!N63+Resultados!N64</f>
        <v>225687.112012756</v>
      </c>
      <c r="E11" s="7"/>
    </row>
    <row r="12" customFormat="false" ht="15" hidden="false" customHeight="false" outlineLevel="0" collapsed="false">
      <c r="A12" s="12" t="s">
        <v>15</v>
      </c>
      <c r="B12" s="13" t="n">
        <f aca="false">Resultados!N17</f>
        <v>-119424.83442252</v>
      </c>
      <c r="C12" s="13" t="n">
        <f aca="false">Resultados!N41</f>
        <v>-80988.0252281068</v>
      </c>
      <c r="D12" s="13" t="n">
        <f aca="false">Resultados!N65</f>
        <v>74448.1253602722</v>
      </c>
      <c r="E12" s="7"/>
    </row>
    <row r="13" customFormat="false" ht="15" hidden="false" customHeight="false" outlineLevel="0" collapsed="false">
      <c r="A13" s="5" t="s">
        <v>16</v>
      </c>
      <c r="B13" s="11" t="n">
        <f aca="false">Resultados!N18</f>
        <v>1113.66222919876</v>
      </c>
      <c r="C13" s="11" t="n">
        <f aca="false">Resultados!N42</f>
        <v>3585.62353380966</v>
      </c>
      <c r="D13" s="11" t="n">
        <f aca="false">Resultados!N66</f>
        <v>16245.3636167293</v>
      </c>
      <c r="E13" s="7" t="s">
        <v>17</v>
      </c>
    </row>
    <row r="14" customFormat="false" ht="15" hidden="false" customHeight="false" outlineLevel="0" collapsed="false">
      <c r="A14" s="12" t="s">
        <v>18</v>
      </c>
      <c r="B14" s="13" t="n">
        <f aca="false">Resultados!N19</f>
        <v>-120538.496651719</v>
      </c>
      <c r="C14" s="13" t="n">
        <f aca="false">Resultados!N43</f>
        <v>-84573.6487619164</v>
      </c>
      <c r="D14" s="13" t="n">
        <f aca="false">Resultados!N67</f>
        <v>58202.761743543</v>
      </c>
      <c r="E14" s="7"/>
    </row>
    <row r="15" customFormat="false" ht="15" hidden="false" customHeight="false" outlineLevel="0" collapsed="false">
      <c r="A15" s="9" t="s">
        <v>19</v>
      </c>
      <c r="B15" s="10" t="n">
        <f aca="false">Resultados!N22</f>
        <v>-119424.83442252</v>
      </c>
      <c r="C15" s="10" t="n">
        <f aca="false">Resultados!N46</f>
        <v>-80988.0252281068</v>
      </c>
      <c r="D15" s="10" t="n">
        <f aca="false">Resultados!N70</f>
        <v>43466.3524564314</v>
      </c>
      <c r="E15" s="7" t="s">
        <v>20</v>
      </c>
    </row>
    <row r="16" customFormat="false" ht="15" hidden="false" customHeight="false" outlineLevel="0" collapsed="false">
      <c r="A16" s="5" t="s">
        <v>21</v>
      </c>
      <c r="B16" s="15" t="str">
        <f aca="false">Resultados!N23</f>
        <v>Dentro del límite</v>
      </c>
      <c r="C16" s="15" t="str">
        <f aca="false">Resultados!N47</f>
        <v>Dentro del límite</v>
      </c>
      <c r="D16" s="15" t="str">
        <f aca="false">Resultados!N71</f>
        <v>Dentro del límite</v>
      </c>
      <c r="E16" s="7"/>
    </row>
    <row r="17" customFormat="false" ht="15" hidden="false" customHeight="false" outlineLevel="0" collapsed="false">
      <c r="A17" s="5" t="s">
        <v>22</v>
      </c>
      <c r="B17" s="11" t="n">
        <f aca="false">IFERROR((Resultados!N14+Resultados!N15+Resultados!N16)/Resultados!N12,0)</f>
        <v>664127.743513061</v>
      </c>
      <c r="C17" s="11" t="n">
        <f aca="false">IFERROR((Resultados!N38+Resultados!N39+Resultados!N40)/Resultados!N36,0)</f>
        <v>589884.906527742</v>
      </c>
      <c r="D17" s="11" t="n">
        <f aca="false">IFERROR((Resultados!N62+Resultados!N63+Resultados!N64)/Resultados!N60,0)</f>
        <v>616886.436364305</v>
      </c>
      <c r="E17" s="7" t="s">
        <v>23</v>
      </c>
    </row>
    <row r="18" customFormat="false" ht="15" hidden="false" customHeight="false" outlineLevel="0" collapsed="false">
      <c r="A18" s="5" t="s">
        <v>24</v>
      </c>
      <c r="B18" s="11" t="n">
        <f aca="false">Inversión!D13</f>
        <v>56000</v>
      </c>
      <c r="C18" s="11" t="n">
        <f aca="false">Inversión!E13</f>
        <v>56000</v>
      </c>
      <c r="D18" s="11" t="n">
        <f aca="false">Inversión!F13</f>
        <v>56000</v>
      </c>
      <c r="E18" s="7"/>
    </row>
    <row r="19" customFormat="false" ht="15" hidden="false" customHeight="false" outlineLevel="0" collapsed="false">
      <c r="A19" s="5" t="s">
        <v>25</v>
      </c>
      <c r="B19" s="11" t="n">
        <f aca="false">Inversión!D14</f>
        <v>35354.0651126215</v>
      </c>
      <c r="C19" s="11" t="n">
        <f aca="false">Inversión!E14</f>
        <v>66260.1192935726</v>
      </c>
      <c r="D19" s="11" t="n">
        <f aca="false">Inversión!F14</f>
        <v>139807.509782761</v>
      </c>
      <c r="E19" s="7"/>
    </row>
    <row r="20" customFormat="false" ht="15" hidden="false" customHeight="false" outlineLevel="0" collapsed="false">
      <c r="A20" s="12" t="s">
        <v>26</v>
      </c>
      <c r="B20" s="13" t="n">
        <f aca="false">Inversión!D15</f>
        <v>91354.0651126215</v>
      </c>
      <c r="C20" s="13" t="n">
        <f aca="false">Inversión!E15</f>
        <v>122260.119293573</v>
      </c>
      <c r="D20" s="13" t="n">
        <f aca="false">Inversión!F15</f>
        <v>195807.509782761</v>
      </c>
      <c r="E20" s="7"/>
    </row>
    <row r="21" customFormat="false" ht="15" hidden="false" customHeight="false" outlineLevel="0" collapsed="false">
      <c r="A21" s="9" t="s">
        <v>27</v>
      </c>
      <c r="B21" s="16" t="str">
        <f aca="false">Inversión!D17</f>
        <v>No se recupera</v>
      </c>
      <c r="C21" s="16" t="str">
        <f aca="false">Inversión!E17</f>
        <v>No se recupera</v>
      </c>
      <c r="D21" s="16" t="n">
        <f aca="false">Inversión!F17</f>
        <v>40.3707667300479</v>
      </c>
      <c r="E21" s="7" t="s">
        <v>28</v>
      </c>
    </row>
    <row r="23" customFormat="false" ht="15" hidden="false" customHeight="false" outlineLevel="0" collapsed="false">
      <c r="A23" s="17" t="s">
        <v>29</v>
      </c>
    </row>
    <row r="24" customFormat="false" ht="31.5" hidden="false" customHeight="true" outlineLevel="0" collapsed="false">
      <c r="A24" s="3" t="s">
        <v>30</v>
      </c>
      <c r="B24" s="4" t="s">
        <v>3</v>
      </c>
      <c r="C24" s="4" t="s">
        <v>4</v>
      </c>
      <c r="D24" s="4" t="s">
        <v>5</v>
      </c>
      <c r="E24" s="4" t="s">
        <v>31</v>
      </c>
    </row>
    <row r="25" customFormat="false" ht="15" hidden="false" customHeight="false" outlineLevel="0" collapsed="false">
      <c r="A25" s="15" t="str">
        <f aca="false">Costos!A5</f>
        <v>Fichas de lotería sueltas</v>
      </c>
      <c r="B25" s="6" t="n">
        <f aca="false">ROUNDUP(Costos!Q5,0)</f>
        <v>1293</v>
      </c>
      <c r="C25" s="6" t="n">
        <f aca="false">ROUNDUP(Costos!R5,0)</f>
        <v>4095</v>
      </c>
      <c r="D25" s="6" t="n">
        <f aca="false">ROUNDUP(Costos!S5,0)</f>
        <v>11839</v>
      </c>
      <c r="E25" s="15" t="str">
        <f aca="false">Costos!M5</f>
        <v>Producir</v>
      </c>
    </row>
    <row r="26" customFormat="false" ht="15" hidden="false" customHeight="false" outlineLevel="0" collapsed="false">
      <c r="A26" s="15" t="str">
        <f aca="false">Costos!A6</f>
        <v>Paquete de 25 fichas</v>
      </c>
      <c r="B26" s="6" t="n">
        <f aca="false">ROUNDUP(Costos!Q6,0)</f>
        <v>308</v>
      </c>
      <c r="C26" s="6" t="n">
        <f aca="false">ROUNDUP(Costos!R6,0)</f>
        <v>1049</v>
      </c>
      <c r="D26" s="6" t="n">
        <f aca="false">ROUNDUP(Costos!S6,0)</f>
        <v>3191</v>
      </c>
      <c r="E26" s="15" t="str">
        <f aca="false">Costos!M6</f>
        <v>Producir</v>
      </c>
    </row>
    <row r="27" customFormat="false" ht="15" hidden="false" customHeight="false" outlineLevel="0" collapsed="false">
      <c r="A27" s="15" t="str">
        <f aca="false">Costos!A7</f>
        <v>Paquete de 50 fichas</v>
      </c>
      <c r="B27" s="6" t="n">
        <f aca="false">ROUNDUP(Costos!Q7,0)</f>
        <v>136</v>
      </c>
      <c r="C27" s="6" t="n">
        <f aca="false">ROUNDUP(Costos!R7,0)</f>
        <v>457</v>
      </c>
      <c r="D27" s="6" t="n">
        <f aca="false">ROUNDUP(Costos!S7,0)</f>
        <v>1378</v>
      </c>
      <c r="E27" s="15" t="str">
        <f aca="false">Costos!M7</f>
        <v>Producir</v>
      </c>
    </row>
    <row r="28" customFormat="false" ht="15" hidden="false" customHeight="false" outlineLevel="0" collapsed="false">
      <c r="A28" s="15" t="str">
        <f aca="false">Costos!A8</f>
        <v>Paquete de 100 fichas</v>
      </c>
      <c r="B28" s="6" t="n">
        <f aca="false">ROUNDUP(Costos!Q8,0)</f>
        <v>50</v>
      </c>
      <c r="C28" s="6" t="n">
        <f aca="false">ROUNDUP(Costos!R8,0)</f>
        <v>168</v>
      </c>
      <c r="D28" s="6" t="n">
        <f aca="false">ROUNDUP(Costos!S8,0)</f>
        <v>505</v>
      </c>
      <c r="E28" s="15" t="str">
        <f aca="false">Costos!M8</f>
        <v>Producir</v>
      </c>
    </row>
    <row r="29" customFormat="false" ht="15" hidden="false" customHeight="false" outlineLevel="0" collapsed="false">
      <c r="A29" s="15" t="str">
        <f aca="false">Costos!A9</f>
        <v>Tazas personalizadas</v>
      </c>
      <c r="B29" s="6" t="n">
        <f aca="false">ROUNDUP(Costos!Q9,0)</f>
        <v>48</v>
      </c>
      <c r="C29" s="6" t="n">
        <f aca="false">ROUNDUP(Costos!R9,0)</f>
        <v>135</v>
      </c>
      <c r="D29" s="6" t="n">
        <f aca="false">ROUNDUP(Costos!S9,0)</f>
        <v>355</v>
      </c>
      <c r="E29" s="15" t="str">
        <f aca="false">Costos!M9</f>
        <v>Tercerizar</v>
      </c>
    </row>
    <row r="30" customFormat="false" ht="15" hidden="false" customHeight="false" outlineLevel="0" collapsed="false">
      <c r="A30" s="15" t="str">
        <f aca="false">Costos!A10</f>
        <v>Vasos y termos personalizados</v>
      </c>
      <c r="B30" s="6" t="n">
        <f aca="false">ROUNDUP(Costos!Q10,0)</f>
        <v>23</v>
      </c>
      <c r="C30" s="6" t="n">
        <f aca="false">ROUNDUP(Costos!R10,0)</f>
        <v>62</v>
      </c>
      <c r="D30" s="6" t="n">
        <f aca="false">ROUNDUP(Costos!S10,0)</f>
        <v>159</v>
      </c>
      <c r="E30" s="15" t="str">
        <f aca="false">Costos!M10</f>
        <v>Tercerizar</v>
      </c>
    </row>
    <row r="31" customFormat="false" ht="15" hidden="false" customHeight="false" outlineLevel="0" collapsed="false">
      <c r="A31" s="15" t="str">
        <f aca="false">Costos!A11</f>
        <v>Agendas</v>
      </c>
      <c r="B31" s="6" t="n">
        <f aca="false">ROUNDUP(Costos!Q11,0)</f>
        <v>25</v>
      </c>
      <c r="C31" s="6" t="n">
        <f aca="false">ROUNDUP(Costos!R11,0)</f>
        <v>72</v>
      </c>
      <c r="D31" s="6" t="n">
        <f aca="false">ROUNDUP(Costos!S11,0)</f>
        <v>192</v>
      </c>
      <c r="E31" s="15" t="str">
        <f aca="false">Costos!M11</f>
        <v>Producir</v>
      </c>
    </row>
    <row r="32" customFormat="false" ht="15" hidden="false" customHeight="false" outlineLevel="0" collapsed="false">
      <c r="A32" s="15" t="str">
        <f aca="false">Costos!A12</f>
        <v>Libretas</v>
      </c>
      <c r="B32" s="6" t="n">
        <f aca="false">ROUNDUP(Costos!Q12,0)</f>
        <v>36</v>
      </c>
      <c r="C32" s="6" t="n">
        <f aca="false">ROUNDUP(Costos!R12,0)</f>
        <v>115</v>
      </c>
      <c r="D32" s="6" t="n">
        <f aca="false">ROUNDUP(Costos!S12,0)</f>
        <v>339</v>
      </c>
      <c r="E32" s="15" t="str">
        <f aca="false">Costos!M12</f>
        <v>Producir</v>
      </c>
    </row>
    <row r="33" customFormat="false" ht="15" hidden="false" customHeight="false" outlineLevel="0" collapsed="false">
      <c r="A33" s="15" t="str">
        <f aca="false">Costos!A13</f>
        <v>Sellos (madera, autoentintables y cera)</v>
      </c>
      <c r="B33" s="6" t="n">
        <f aca="false">ROUNDUP(Costos!Q13,0)</f>
        <v>31</v>
      </c>
      <c r="C33" s="6" t="n">
        <f aca="false">ROUNDUP(Costos!R13,0)</f>
        <v>96</v>
      </c>
      <c r="D33" s="6" t="n">
        <f aca="false">ROUNDUP(Costos!S13,0)</f>
        <v>268</v>
      </c>
      <c r="E33" s="15" t="str">
        <f aca="false">Costos!M13</f>
        <v>Tercerizar</v>
      </c>
    </row>
    <row r="34" customFormat="false" ht="15" hidden="false" customHeight="false" outlineLevel="0" collapsed="false">
      <c r="A34" s="15" t="str">
        <f aca="false">Costos!A14</f>
        <v>Impresión 3D y otros personalizados</v>
      </c>
      <c r="B34" s="6" t="n">
        <f aca="false">ROUNDUP(Costos!Q14,0)</f>
        <v>8</v>
      </c>
      <c r="C34" s="6" t="n">
        <f aca="false">ROUNDUP(Costos!R14,0)</f>
        <v>20</v>
      </c>
      <c r="D34" s="6" t="n">
        <f aca="false">ROUNDUP(Costos!S14,0)</f>
        <v>49</v>
      </c>
      <c r="E34" s="15" t="str">
        <f aca="false">Costos!M14</f>
        <v>Producir</v>
      </c>
    </row>
    <row r="35" customFormat="false" ht="15" hidden="false" customHeight="false" outlineLevel="0" collapsed="false">
      <c r="A35" s="15" t="str">
        <f aca="false">Costos!A15</f>
        <v>Mini CD con NFC</v>
      </c>
      <c r="B35" s="6" t="n">
        <f aca="false">ROUNDUP(Costos!Q15,0)</f>
        <v>49</v>
      </c>
      <c r="C35" s="6" t="n">
        <f aca="false">ROUNDUP(Costos!R15,0)</f>
        <v>152</v>
      </c>
      <c r="D35" s="6" t="n">
        <f aca="false">ROUNDUP(Costos!S15,0)</f>
        <v>432</v>
      </c>
      <c r="E35" s="15" t="str">
        <f aca="false">Costos!M15</f>
        <v>Producir</v>
      </c>
    </row>
    <row r="36" customFormat="false" ht="15" hidden="false" customHeight="false" outlineLevel="0" collapsed="false">
      <c r="A36" s="15" t="str">
        <f aca="false">Costos!A16</f>
        <v>Colección Pride</v>
      </c>
      <c r="B36" s="6" t="n">
        <f aca="false">ROUNDUP(Costos!Q16,0)</f>
        <v>29</v>
      </c>
      <c r="C36" s="6" t="n">
        <f aca="false">ROUNDUP(Costos!R16,0)</f>
        <v>87</v>
      </c>
      <c r="D36" s="6" t="n">
        <f aca="false">ROUNDUP(Costos!S16,0)</f>
        <v>248</v>
      </c>
      <c r="E36" s="15" t="str">
        <f aca="false">Costos!M16</f>
        <v>Tercerizar</v>
      </c>
    </row>
    <row r="37" customFormat="false" ht="15" hidden="false" customHeight="false" outlineLevel="0" collapsed="false">
      <c r="A37" s="15" t="str">
        <f aca="false">Costos!A17</f>
        <v>Kits y regalos de temporada</v>
      </c>
      <c r="B37" s="6" t="n">
        <f aca="false">ROUNDUP(Costos!Q17,0)</f>
        <v>11</v>
      </c>
      <c r="C37" s="6" t="n">
        <f aca="false">ROUNDUP(Costos!R17,0)</f>
        <v>30</v>
      </c>
      <c r="D37" s="6" t="n">
        <f aca="false">ROUNDUP(Costos!S17,0)</f>
        <v>78</v>
      </c>
      <c r="E37" s="15" t="str">
        <f aca="false">Costos!M17</f>
        <v>Producir</v>
      </c>
    </row>
    <row r="39" customFormat="false" ht="15" hidden="false" customHeight="false" outlineLevel="0" collapsed="false">
      <c r="A39" s="9" t="s">
        <v>32</v>
      </c>
      <c r="C39" s="18" t="n">
        <f aca="false">Costos!R5+Costos!R6*25+Costos!R7*50+Costos!R8*100</f>
        <v>69911.3467952406</v>
      </c>
    </row>
    <row r="40" customFormat="false" ht="15" hidden="false" customHeight="false" outlineLevel="0" collapsed="false">
      <c r="A40" s="9" t="s">
        <v>33</v>
      </c>
      <c r="C40" s="16" t="n">
        <f aca="false">(Costos!R5*Costos!E5+Costos!R6*Costos!E6+Costos!R7*Costos!E7+Costos!R8*Costos!E8)/1000</f>
        <v>209.734040385722</v>
      </c>
    </row>
    <row r="42" customFormat="false" ht="15" hidden="false" customHeight="false" outlineLevel="0" collapsed="false">
      <c r="A42" s="19" t="s">
        <v>34</v>
      </c>
    </row>
    <row r="43" customFormat="false" ht="30" hidden="false" customHeight="true" outlineLevel="0" collapsed="false">
      <c r="A43" s="20" t="s">
        <v>35</v>
      </c>
      <c r="B43" s="20"/>
      <c r="C43" s="20"/>
      <c r="D43" s="20"/>
      <c r="E43" s="20"/>
    </row>
    <row r="44" customFormat="false" ht="30" hidden="false" customHeight="true" outlineLevel="0" collapsed="false">
      <c r="A44" s="20" t="s">
        <v>36</v>
      </c>
      <c r="B44" s="20"/>
      <c r="C44" s="20"/>
      <c r="D44" s="20"/>
      <c r="E44" s="20"/>
    </row>
    <row r="45" customFormat="false" ht="30" hidden="false" customHeight="true" outlineLevel="0" collapsed="false">
      <c r="A45" s="20" t="s">
        <v>37</v>
      </c>
      <c r="B45" s="20"/>
      <c r="C45" s="20"/>
      <c r="D45" s="20"/>
      <c r="E45" s="20"/>
    </row>
    <row r="46" customFormat="false" ht="30" hidden="false" customHeight="true" outlineLevel="0" collapsed="false">
      <c r="A46" s="20" t="s">
        <v>38</v>
      </c>
      <c r="B46" s="20"/>
      <c r="C46" s="20"/>
      <c r="D46" s="20"/>
      <c r="E46" s="20"/>
    </row>
    <row r="47" customFormat="false" ht="30" hidden="false" customHeight="true" outlineLevel="0" collapsed="false">
      <c r="A47" s="20" t="s">
        <v>39</v>
      </c>
      <c r="B47" s="20"/>
      <c r="C47" s="20"/>
      <c r="D47" s="20"/>
      <c r="E47" s="20"/>
    </row>
    <row r="48" customFormat="false" ht="30" hidden="false" customHeight="true" outlineLevel="0" collapsed="false">
      <c r="A48" s="20" t="s">
        <v>40</v>
      </c>
      <c r="B48" s="20"/>
      <c r="C48" s="20"/>
      <c r="D48" s="20"/>
      <c r="E48" s="20"/>
    </row>
  </sheetData>
  <mergeCells count="6">
    <mergeCell ref="A43:E43"/>
    <mergeCell ref="A44:E44"/>
    <mergeCell ref="A45:E45"/>
    <mergeCell ref="A46:E46"/>
    <mergeCell ref="A47:E47"/>
    <mergeCell ref="A48:E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5" min="3" style="0" width="15"/>
    <col collapsed="false" customWidth="true" hidden="false" outlineLevel="0" max="6" min="6" style="0" width="80"/>
  </cols>
  <sheetData>
    <row r="1" customFormat="false" ht="19.7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4" customFormat="false" ht="31.5" hidden="false" customHeight="true" outlineLevel="0" collapsed="false">
      <c r="A4" s="3" t="s">
        <v>43</v>
      </c>
      <c r="B4" s="4" t="s">
        <v>44</v>
      </c>
      <c r="C4" s="4" t="s">
        <v>3</v>
      </c>
      <c r="D4" s="4" t="s">
        <v>4</v>
      </c>
      <c r="E4" s="4" t="s">
        <v>5</v>
      </c>
      <c r="F4" s="4" t="s">
        <v>45</v>
      </c>
    </row>
    <row r="5" customFormat="false" ht="15" hidden="false" customHeight="false" outlineLevel="0" collapsed="false">
      <c r="A5" s="5" t="s">
        <v>46</v>
      </c>
      <c r="B5" s="21" t="s">
        <v>47</v>
      </c>
      <c r="C5" s="22" t="n">
        <v>5</v>
      </c>
      <c r="D5" s="22" t="n">
        <v>9</v>
      </c>
      <c r="E5" s="22" t="n">
        <v>14</v>
      </c>
      <c r="F5" s="7" t="s">
        <v>48</v>
      </c>
    </row>
    <row r="6" customFormat="false" ht="15" hidden="false" customHeight="false" outlineLevel="0" collapsed="false">
      <c r="A6" s="5" t="s">
        <v>49</v>
      </c>
      <c r="B6" s="21" t="s">
        <v>50</v>
      </c>
      <c r="C6" s="23" t="n">
        <v>0.01</v>
      </c>
      <c r="D6" s="23" t="n">
        <v>0.03</v>
      </c>
      <c r="E6" s="23" t="n">
        <v>0.05</v>
      </c>
      <c r="F6" s="7" t="s">
        <v>51</v>
      </c>
    </row>
    <row r="7" customFormat="false" ht="15" hidden="false" customHeight="false" outlineLevel="0" collapsed="false">
      <c r="A7" s="5" t="s">
        <v>52</v>
      </c>
      <c r="B7" s="21" t="s">
        <v>53</v>
      </c>
      <c r="C7" s="24" t="n">
        <v>4000</v>
      </c>
      <c r="D7" s="24" t="n">
        <v>6000</v>
      </c>
      <c r="E7" s="24" t="n">
        <v>9000</v>
      </c>
      <c r="F7" s="7" t="s">
        <v>54</v>
      </c>
    </row>
    <row r="8" customFormat="false" ht="15" hidden="false" customHeight="false" outlineLevel="0" collapsed="false">
      <c r="A8" s="5" t="s">
        <v>55</v>
      </c>
      <c r="B8" s="21" t="s">
        <v>53</v>
      </c>
      <c r="C8" s="24" t="n">
        <v>110</v>
      </c>
      <c r="D8" s="24" t="n">
        <v>85</v>
      </c>
      <c r="E8" s="24" t="n">
        <v>70</v>
      </c>
      <c r="F8" s="7" t="s">
        <v>56</v>
      </c>
    </row>
    <row r="9" customFormat="false" ht="15" hidden="false" customHeight="false" outlineLevel="0" collapsed="false">
      <c r="A9" s="5" t="s">
        <v>57</v>
      </c>
      <c r="B9" s="21" t="s">
        <v>50</v>
      </c>
      <c r="C9" s="25" t="n">
        <v>0.008</v>
      </c>
      <c r="D9" s="25" t="n">
        <v>0.012</v>
      </c>
      <c r="E9" s="25" t="n">
        <v>0.016</v>
      </c>
      <c r="F9" s="7" t="s">
        <v>58</v>
      </c>
    </row>
    <row r="10" customFormat="false" ht="15" hidden="false" customHeight="false" outlineLevel="0" collapsed="false">
      <c r="A10" s="5" t="s">
        <v>59</v>
      </c>
      <c r="B10" s="21" t="s">
        <v>50</v>
      </c>
      <c r="C10" s="25" t="n">
        <v>0.01</v>
      </c>
      <c r="D10" s="25" t="n">
        <v>0.015</v>
      </c>
      <c r="E10" s="25" t="n">
        <v>0.022</v>
      </c>
      <c r="F10" s="7" t="s">
        <v>60</v>
      </c>
    </row>
    <row r="11" customFormat="false" ht="15" hidden="false" customHeight="false" outlineLevel="0" collapsed="false">
      <c r="A11" s="5" t="s">
        <v>61</v>
      </c>
      <c r="B11" s="21" t="s">
        <v>53</v>
      </c>
      <c r="C11" s="26" t="n">
        <v>320</v>
      </c>
      <c r="D11" s="26" t="n">
        <v>380</v>
      </c>
      <c r="E11" s="26" t="n">
        <v>450</v>
      </c>
      <c r="F11" s="7" t="s">
        <v>58</v>
      </c>
    </row>
    <row r="13" customFormat="false" ht="31.5" hidden="false" customHeight="true" outlineLevel="0" collapsed="false">
      <c r="A13" s="3" t="s">
        <v>62</v>
      </c>
      <c r="B13" s="4" t="s">
        <v>44</v>
      </c>
      <c r="C13" s="4" t="s">
        <v>3</v>
      </c>
      <c r="D13" s="4" t="s">
        <v>4</v>
      </c>
      <c r="E13" s="4" t="s">
        <v>5</v>
      </c>
      <c r="F13" s="4" t="s">
        <v>45</v>
      </c>
    </row>
    <row r="14" customFormat="false" ht="15" hidden="false" customHeight="false" outlineLevel="0" collapsed="false">
      <c r="A14" s="5" t="s">
        <v>63</v>
      </c>
      <c r="B14" s="21" t="s">
        <v>64</v>
      </c>
      <c r="C14" s="22" t="n">
        <v>1</v>
      </c>
      <c r="D14" s="22" t="n">
        <v>2</v>
      </c>
      <c r="E14" s="22" t="n">
        <v>4</v>
      </c>
      <c r="F14" s="7" t="s">
        <v>65</v>
      </c>
    </row>
    <row r="15" customFormat="false" ht="15" hidden="false" customHeight="false" outlineLevel="0" collapsed="false">
      <c r="A15" s="5" t="s">
        <v>66</v>
      </c>
      <c r="B15" s="21" t="s">
        <v>50</v>
      </c>
      <c r="C15" s="27" t="n">
        <v>0.9</v>
      </c>
      <c r="D15" s="27" t="n">
        <v>0.93</v>
      </c>
      <c r="E15" s="27" t="n">
        <v>0.95</v>
      </c>
      <c r="F15" s="7" t="s">
        <v>58</v>
      </c>
    </row>
    <row r="16" customFormat="false" ht="15" hidden="false" customHeight="false" outlineLevel="0" collapsed="false">
      <c r="A16" s="5" t="s">
        <v>67</v>
      </c>
      <c r="B16" s="21" t="s">
        <v>47</v>
      </c>
      <c r="C16" s="28" t="n">
        <v>0.35</v>
      </c>
      <c r="D16" s="28" t="n">
        <v>0.5</v>
      </c>
      <c r="E16" s="28" t="n">
        <v>0.6</v>
      </c>
      <c r="F16" s="7" t="s">
        <v>68</v>
      </c>
    </row>
    <row r="17" customFormat="false" ht="15" hidden="false" customHeight="false" outlineLevel="0" collapsed="false">
      <c r="A17" s="5" t="s">
        <v>69</v>
      </c>
      <c r="B17" s="21" t="s">
        <v>53</v>
      </c>
      <c r="C17" s="24" t="n">
        <v>1800</v>
      </c>
      <c r="D17" s="24" t="n">
        <v>2400</v>
      </c>
      <c r="E17" s="24" t="n">
        <v>3200</v>
      </c>
      <c r="F17" s="7" t="s">
        <v>70</v>
      </c>
    </row>
    <row r="18" customFormat="false" ht="15" hidden="false" customHeight="false" outlineLevel="0" collapsed="false">
      <c r="A18" s="5" t="s">
        <v>71</v>
      </c>
      <c r="B18" s="21" t="s">
        <v>72</v>
      </c>
      <c r="C18" s="29" t="n">
        <v>1.15</v>
      </c>
      <c r="D18" s="29" t="n">
        <v>1</v>
      </c>
      <c r="E18" s="29" t="n">
        <v>0.9</v>
      </c>
      <c r="F18" s="7" t="s">
        <v>73</v>
      </c>
    </row>
    <row r="20" customFormat="false" ht="31.5" hidden="false" customHeight="true" outlineLevel="0" collapsed="false">
      <c r="A20" s="3" t="s">
        <v>74</v>
      </c>
      <c r="B20" s="4" t="s">
        <v>44</v>
      </c>
      <c r="C20" s="4" t="s">
        <v>75</v>
      </c>
      <c r="D20" s="4"/>
      <c r="E20" s="4"/>
      <c r="F20" s="4" t="s">
        <v>45</v>
      </c>
    </row>
    <row r="21" customFormat="false" ht="15" hidden="false" customHeight="false" outlineLevel="0" collapsed="false">
      <c r="A21" s="5" t="s">
        <v>76</v>
      </c>
      <c r="B21" s="21" t="s">
        <v>77</v>
      </c>
      <c r="C21" s="30" t="n">
        <v>3</v>
      </c>
      <c r="F21" s="7" t="s">
        <v>78</v>
      </c>
    </row>
    <row r="22" customFormat="false" ht="15" hidden="false" customHeight="false" outlineLevel="0" collapsed="false">
      <c r="A22" s="5" t="s">
        <v>79</v>
      </c>
      <c r="B22" s="21" t="s">
        <v>50</v>
      </c>
      <c r="C22" s="23" t="n">
        <v>0.42</v>
      </c>
      <c r="F22" s="7" t="s">
        <v>80</v>
      </c>
    </row>
    <row r="23" customFormat="false" ht="15" hidden="false" customHeight="false" outlineLevel="0" collapsed="false">
      <c r="A23" s="5" t="s">
        <v>81</v>
      </c>
      <c r="B23" s="21" t="s">
        <v>50</v>
      </c>
      <c r="C23" s="27" t="n">
        <v>0.16</v>
      </c>
      <c r="F23" s="7" t="s">
        <v>82</v>
      </c>
    </row>
    <row r="24" customFormat="false" ht="15" hidden="false" customHeight="false" outlineLevel="0" collapsed="false">
      <c r="A24" s="5" t="s">
        <v>83</v>
      </c>
      <c r="B24" s="21" t="s">
        <v>84</v>
      </c>
      <c r="C24" s="30" t="n">
        <v>1</v>
      </c>
      <c r="F24" s="7" t="s">
        <v>85</v>
      </c>
    </row>
    <row r="25" customFormat="false" ht="15" hidden="false" customHeight="false" outlineLevel="0" collapsed="false">
      <c r="A25" s="5" t="s">
        <v>86</v>
      </c>
      <c r="B25" s="21" t="s">
        <v>50</v>
      </c>
      <c r="C25" s="27" t="n">
        <v>0.04</v>
      </c>
      <c r="F25" s="7" t="s">
        <v>87</v>
      </c>
    </row>
    <row r="26" customFormat="false" ht="15" hidden="false" customHeight="false" outlineLevel="0" collapsed="false">
      <c r="A26" s="5" t="s">
        <v>88</v>
      </c>
      <c r="B26" s="21" t="s">
        <v>53</v>
      </c>
      <c r="C26" s="26" t="n">
        <v>6000</v>
      </c>
      <c r="F26" s="7" t="s">
        <v>89</v>
      </c>
    </row>
    <row r="27" customFormat="false" ht="15" hidden="false" customHeight="false" outlineLevel="0" collapsed="false">
      <c r="A27" s="5" t="s">
        <v>90</v>
      </c>
      <c r="B27" s="21" t="s">
        <v>91</v>
      </c>
      <c r="C27" s="30" t="n">
        <v>3</v>
      </c>
      <c r="F27" s="7" t="s">
        <v>58</v>
      </c>
    </row>
    <row r="28" customFormat="false" ht="15" hidden="false" customHeight="false" outlineLevel="0" collapsed="false">
      <c r="A28" s="5" t="s">
        <v>92</v>
      </c>
      <c r="B28" s="21" t="s">
        <v>93</v>
      </c>
      <c r="C28" s="30" t="n">
        <v>2</v>
      </c>
      <c r="F28" s="7" t="s">
        <v>94</v>
      </c>
    </row>
    <row r="29" customFormat="false" ht="15" hidden="false" customHeight="false" outlineLevel="0" collapsed="false">
      <c r="A29" s="5" t="s">
        <v>95</v>
      </c>
      <c r="B29" s="21" t="s">
        <v>50</v>
      </c>
      <c r="C29" s="27" t="n">
        <v>0.3</v>
      </c>
      <c r="F29" s="7" t="s">
        <v>96</v>
      </c>
    </row>
    <row r="30" customFormat="false" ht="15" hidden="false" customHeight="false" outlineLevel="0" collapsed="false">
      <c r="A30" s="5" t="s">
        <v>97</v>
      </c>
      <c r="B30" s="21" t="s">
        <v>50</v>
      </c>
      <c r="C30" s="27" t="n">
        <v>0.1</v>
      </c>
      <c r="F30" s="7" t="s">
        <v>98</v>
      </c>
    </row>
    <row r="31" customFormat="false" ht="15" hidden="false" customHeight="false" outlineLevel="0" collapsed="false">
      <c r="A31" s="5" t="s">
        <v>99</v>
      </c>
      <c r="B31" s="21" t="s">
        <v>100</v>
      </c>
      <c r="C31" s="24" t="n">
        <v>349</v>
      </c>
      <c r="F31" s="7" t="s">
        <v>101</v>
      </c>
    </row>
    <row r="32" customFormat="false" ht="15" hidden="false" customHeight="false" outlineLevel="0" collapsed="false">
      <c r="A32" s="5" t="s">
        <v>102</v>
      </c>
      <c r="B32" s="21" t="s">
        <v>50</v>
      </c>
      <c r="C32" s="27" t="n">
        <v>0.05</v>
      </c>
      <c r="F32" s="7" t="s">
        <v>58</v>
      </c>
    </row>
    <row r="33" customFormat="false" ht="15" hidden="false" customHeight="false" outlineLevel="0" collapsed="false">
      <c r="A33" s="5" t="s">
        <v>103</v>
      </c>
      <c r="B33" s="21" t="s">
        <v>104</v>
      </c>
      <c r="C33" s="30" t="n">
        <v>3500</v>
      </c>
      <c r="F33" s="7" t="s">
        <v>105</v>
      </c>
    </row>
    <row r="34" customFormat="false" ht="15" hidden="false" customHeight="false" outlineLevel="0" collapsed="false">
      <c r="A34" s="5" t="s">
        <v>106</v>
      </c>
      <c r="B34" s="21" t="s">
        <v>50</v>
      </c>
      <c r="C34" s="27" t="n">
        <v>0.1</v>
      </c>
      <c r="F34" s="7" t="s">
        <v>58</v>
      </c>
    </row>
    <row r="35" customFormat="false" ht="15" hidden="false" customHeight="false" outlineLevel="0" collapsed="false">
      <c r="A35" s="5" t="s">
        <v>107</v>
      </c>
      <c r="B35" s="21" t="s">
        <v>104</v>
      </c>
      <c r="C35" s="29" t="n">
        <v>0.15</v>
      </c>
      <c r="F35" s="7" t="s">
        <v>108</v>
      </c>
    </row>
    <row r="36" customFormat="false" ht="22.35" hidden="false" customHeight="false" outlineLevel="0" collapsed="false">
      <c r="A36" s="5" t="s">
        <v>109</v>
      </c>
      <c r="B36" s="21" t="s">
        <v>50</v>
      </c>
      <c r="C36" s="23" t="n">
        <v>0.25</v>
      </c>
      <c r="F36" s="7" t="s">
        <v>110</v>
      </c>
    </row>
    <row r="37" customFormat="false" ht="31.5" hidden="false" customHeight="true" outlineLevel="0" collapsed="false">
      <c r="A37" s="3" t="s">
        <v>111</v>
      </c>
      <c r="B37" s="4"/>
      <c r="C37" s="4" t="s">
        <v>112</v>
      </c>
      <c r="D37" s="4" t="s">
        <v>113</v>
      </c>
      <c r="E37" s="4"/>
      <c r="F37" s="4" t="s">
        <v>6</v>
      </c>
    </row>
    <row r="38" customFormat="false" ht="15" hidden="false" customHeight="false" outlineLevel="0" collapsed="false">
      <c r="A38" s="5" t="s">
        <v>114</v>
      </c>
      <c r="C38" s="28" t="n">
        <v>1.2</v>
      </c>
      <c r="D38" s="28" t="n">
        <v>1.15</v>
      </c>
      <c r="F38" s="2" t="s">
        <v>115</v>
      </c>
    </row>
    <row r="39" customFormat="false" ht="15" hidden="false" customHeight="false" outlineLevel="0" collapsed="false">
      <c r="A39" s="5" t="s">
        <v>116</v>
      </c>
      <c r="C39" s="28" t="n">
        <v>1.7</v>
      </c>
      <c r="D39" s="28" t="n">
        <v>1.25</v>
      </c>
      <c r="F39" s="2" t="s">
        <v>117</v>
      </c>
    </row>
    <row r="40" customFormat="false" ht="15" hidden="false" customHeight="false" outlineLevel="0" collapsed="false">
      <c r="A40" s="5" t="s">
        <v>118</v>
      </c>
      <c r="C40" s="28" t="n">
        <v>0.7</v>
      </c>
      <c r="D40" s="28" t="n">
        <v>0.95</v>
      </c>
      <c r="F40" s="2" t="s">
        <v>119</v>
      </c>
    </row>
    <row r="41" customFormat="false" ht="15" hidden="false" customHeight="false" outlineLevel="0" collapsed="false">
      <c r="A41" s="5" t="s">
        <v>120</v>
      </c>
      <c r="C41" s="28" t="n">
        <v>0.95</v>
      </c>
      <c r="D41" s="28" t="n">
        <v>1</v>
      </c>
      <c r="F41" s="2" t="s">
        <v>121</v>
      </c>
    </row>
    <row r="42" customFormat="false" ht="15" hidden="false" customHeight="false" outlineLevel="0" collapsed="false">
      <c r="A42" s="5" t="s">
        <v>122</v>
      </c>
      <c r="C42" s="28" t="n">
        <v>0.85</v>
      </c>
      <c r="D42" s="28" t="n">
        <v>1</v>
      </c>
      <c r="F42" s="2"/>
    </row>
    <row r="43" customFormat="false" ht="15" hidden="false" customHeight="false" outlineLevel="0" collapsed="false">
      <c r="A43" s="5" t="s">
        <v>123</v>
      </c>
      <c r="C43" s="28" t="n">
        <v>0.9</v>
      </c>
      <c r="D43" s="28" t="n">
        <v>1</v>
      </c>
      <c r="F43" s="2"/>
    </row>
    <row r="44" customFormat="false" ht="15" hidden="false" customHeight="false" outlineLevel="0" collapsed="false">
      <c r="A44" s="5" t="s">
        <v>124</v>
      </c>
      <c r="C44" s="28" t="n">
        <v>1.15</v>
      </c>
      <c r="D44" s="28" t="n">
        <v>1.05</v>
      </c>
      <c r="F44" s="2" t="s">
        <v>125</v>
      </c>
    </row>
    <row r="45" customFormat="false" ht="15" hidden="false" customHeight="false" outlineLevel="0" collapsed="false">
      <c r="A45" s="5" t="s">
        <v>126</v>
      </c>
      <c r="C45" s="28" t="n">
        <v>1</v>
      </c>
      <c r="D45" s="28" t="n">
        <v>1</v>
      </c>
      <c r="F45" s="2" t="s">
        <v>127</v>
      </c>
    </row>
    <row r="46" customFormat="false" ht="15" hidden="false" customHeight="false" outlineLevel="0" collapsed="false">
      <c r="A46" s="5" t="s">
        <v>128</v>
      </c>
      <c r="C46" s="28" t="n">
        <v>0.8</v>
      </c>
      <c r="D46" s="28" t="n">
        <v>0.95</v>
      </c>
      <c r="F46" s="2" t="s">
        <v>129</v>
      </c>
    </row>
    <row r="47" customFormat="false" ht="15" hidden="false" customHeight="false" outlineLevel="0" collapsed="false">
      <c r="A47" s="5" t="s">
        <v>130</v>
      </c>
      <c r="C47" s="28" t="n">
        <v>0.9</v>
      </c>
      <c r="D47" s="28" t="n">
        <v>1</v>
      </c>
      <c r="F47" s="2" t="s">
        <v>131</v>
      </c>
    </row>
    <row r="48" customFormat="false" ht="15" hidden="false" customHeight="false" outlineLevel="0" collapsed="false">
      <c r="A48" s="5" t="s">
        <v>132</v>
      </c>
      <c r="C48" s="28" t="n">
        <v>1</v>
      </c>
      <c r="D48" s="28" t="n">
        <v>1</v>
      </c>
      <c r="F48" s="2" t="s">
        <v>133</v>
      </c>
    </row>
    <row r="49" customFormat="false" ht="15" hidden="false" customHeight="false" outlineLevel="0" collapsed="false">
      <c r="A49" s="5" t="s">
        <v>134</v>
      </c>
      <c r="C49" s="28" t="n">
        <v>1.05</v>
      </c>
      <c r="D49" s="28" t="n">
        <v>1.05</v>
      </c>
      <c r="F49" s="2" t="s">
        <v>135</v>
      </c>
    </row>
    <row r="51" customFormat="false" ht="15" hidden="false" customHeight="false" outlineLevel="0" collapsed="false">
      <c r="A51" s="2" t="s">
        <v>136</v>
      </c>
    </row>
    <row r="53" customFormat="false" ht="31.5" hidden="false" customHeight="true" outlineLevel="0" collapsed="false">
      <c r="A53" s="3" t="s">
        <v>30</v>
      </c>
      <c r="B53" s="4" t="s">
        <v>137</v>
      </c>
      <c r="C53" s="4" t="s">
        <v>138</v>
      </c>
      <c r="D53" s="4" t="s">
        <v>139</v>
      </c>
      <c r="E53" s="4" t="s">
        <v>140</v>
      </c>
      <c r="F53" s="4" t="s">
        <v>6</v>
      </c>
    </row>
    <row r="54" customFormat="false" ht="15" hidden="false" customHeight="false" outlineLevel="0" collapsed="false">
      <c r="A54" s="5" t="s">
        <v>141</v>
      </c>
      <c r="B54" s="24" t="n">
        <v>5</v>
      </c>
      <c r="C54" s="30" t="n">
        <v>4</v>
      </c>
      <c r="D54" s="30" t="n">
        <v>5</v>
      </c>
      <c r="E54" s="31" t="s">
        <v>142</v>
      </c>
      <c r="F54" s="2" t="s">
        <v>143</v>
      </c>
    </row>
    <row r="55" customFormat="false" ht="15" hidden="false" customHeight="false" outlineLevel="0" collapsed="false">
      <c r="A55" s="5" t="s">
        <v>144</v>
      </c>
      <c r="B55" s="24" t="n">
        <v>70</v>
      </c>
      <c r="C55" s="30" t="n">
        <v>10</v>
      </c>
      <c r="D55" s="30" t="n">
        <v>25</v>
      </c>
      <c r="E55" s="31" t="s">
        <v>142</v>
      </c>
      <c r="F55" s="2" t="s">
        <v>143</v>
      </c>
    </row>
    <row r="56" customFormat="false" ht="15" hidden="false" customHeight="false" outlineLevel="0" collapsed="false">
      <c r="A56" s="5" t="s">
        <v>145</v>
      </c>
      <c r="B56" s="24" t="n">
        <v>135</v>
      </c>
      <c r="C56" s="30" t="n">
        <v>9</v>
      </c>
      <c r="D56" s="30" t="n">
        <v>20</v>
      </c>
      <c r="E56" s="31" t="s">
        <v>142</v>
      </c>
      <c r="F56" s="2" t="s">
        <v>143</v>
      </c>
    </row>
    <row r="57" customFormat="false" ht="15" hidden="false" customHeight="false" outlineLevel="0" collapsed="false">
      <c r="A57" s="5" t="s">
        <v>146</v>
      </c>
      <c r="B57" s="24" t="n">
        <v>280</v>
      </c>
      <c r="C57" s="30" t="n">
        <v>7</v>
      </c>
      <c r="D57" s="30" t="n">
        <v>15</v>
      </c>
      <c r="E57" s="31" t="s">
        <v>142</v>
      </c>
      <c r="F57" s="2" t="s">
        <v>143</v>
      </c>
    </row>
    <row r="58" customFormat="false" ht="15" hidden="false" customHeight="false" outlineLevel="0" collapsed="false">
      <c r="A58" s="5" t="s">
        <v>147</v>
      </c>
      <c r="B58" s="24" t="n">
        <v>198</v>
      </c>
      <c r="C58" s="30" t="n">
        <v>8</v>
      </c>
      <c r="D58" s="30" t="n">
        <v>2</v>
      </c>
      <c r="E58" s="31" t="s">
        <v>148</v>
      </c>
      <c r="F58" s="2" t="s">
        <v>149</v>
      </c>
    </row>
    <row r="59" customFormat="false" ht="15" hidden="false" customHeight="false" outlineLevel="0" collapsed="false">
      <c r="A59" s="5" t="s">
        <v>150</v>
      </c>
      <c r="B59" s="24" t="n">
        <v>497</v>
      </c>
      <c r="C59" s="30" t="n">
        <v>10</v>
      </c>
      <c r="D59" s="30" t="n">
        <v>1</v>
      </c>
      <c r="E59" s="31" t="s">
        <v>151</v>
      </c>
      <c r="F59" s="2" t="s">
        <v>152</v>
      </c>
    </row>
    <row r="60" customFormat="false" ht="15" hidden="false" customHeight="false" outlineLevel="0" collapsed="false">
      <c r="A60" s="5" t="s">
        <v>153</v>
      </c>
      <c r="B60" s="24" t="n">
        <v>397</v>
      </c>
      <c r="C60" s="30" t="n">
        <v>8</v>
      </c>
      <c r="D60" s="30" t="n">
        <v>3</v>
      </c>
      <c r="E60" s="31" t="s">
        <v>154</v>
      </c>
      <c r="F60" s="2" t="s">
        <v>155</v>
      </c>
    </row>
    <row r="61" customFormat="false" ht="15" hidden="false" customHeight="false" outlineLevel="0" collapsed="false">
      <c r="A61" s="5" t="s">
        <v>156</v>
      </c>
      <c r="B61" s="24" t="n">
        <v>250</v>
      </c>
      <c r="C61" s="30" t="n">
        <v>5</v>
      </c>
      <c r="D61" s="30" t="n">
        <v>8</v>
      </c>
      <c r="E61" s="31" t="s">
        <v>154</v>
      </c>
      <c r="F61" s="2" t="s">
        <v>155</v>
      </c>
    </row>
    <row r="62" customFormat="false" ht="15" hidden="false" customHeight="false" outlineLevel="0" collapsed="false">
      <c r="A62" s="5" t="s">
        <v>157</v>
      </c>
      <c r="B62" s="24" t="n">
        <v>424</v>
      </c>
      <c r="C62" s="30" t="n">
        <v>9</v>
      </c>
      <c r="D62" s="30" t="n">
        <v>8</v>
      </c>
      <c r="E62" s="31" t="s">
        <v>151</v>
      </c>
      <c r="F62" s="2" t="s">
        <v>152</v>
      </c>
    </row>
    <row r="63" customFormat="false" ht="15" hidden="false" customHeight="false" outlineLevel="0" collapsed="false">
      <c r="A63" s="5" t="s">
        <v>158</v>
      </c>
      <c r="B63" s="24" t="n">
        <v>600</v>
      </c>
      <c r="C63" s="30" t="n">
        <v>4</v>
      </c>
      <c r="D63" s="30" t="n">
        <v>0</v>
      </c>
      <c r="E63" s="31" t="s">
        <v>142</v>
      </c>
      <c r="F63" s="2" t="s">
        <v>159</v>
      </c>
    </row>
    <row r="64" customFormat="false" ht="15" hidden="false" customHeight="false" outlineLevel="0" collapsed="false">
      <c r="A64" s="5" t="s">
        <v>160</v>
      </c>
      <c r="B64" s="24" t="n">
        <v>185</v>
      </c>
      <c r="C64" s="30" t="n">
        <v>6</v>
      </c>
      <c r="D64" s="30" t="n">
        <v>6</v>
      </c>
      <c r="E64" s="31" t="s">
        <v>154</v>
      </c>
      <c r="F64" s="2" t="s">
        <v>161</v>
      </c>
    </row>
    <row r="65" customFormat="false" ht="15" hidden="false" customHeight="false" outlineLevel="0" collapsed="false">
      <c r="A65" s="5" t="s">
        <v>127</v>
      </c>
      <c r="B65" s="24" t="n">
        <v>269</v>
      </c>
      <c r="C65" s="30" t="n">
        <v>5</v>
      </c>
      <c r="D65" s="30" t="n">
        <v>5</v>
      </c>
      <c r="E65" s="31" t="s">
        <v>148</v>
      </c>
      <c r="F65" s="2" t="s">
        <v>162</v>
      </c>
    </row>
    <row r="66" customFormat="false" ht="15" hidden="false" customHeight="false" outlineLevel="0" collapsed="false">
      <c r="A66" s="5" t="s">
        <v>163</v>
      </c>
      <c r="B66" s="24" t="n">
        <v>900</v>
      </c>
      <c r="C66" s="30" t="n">
        <v>8</v>
      </c>
      <c r="D66" s="30" t="n">
        <v>2</v>
      </c>
      <c r="E66" s="31" t="s">
        <v>154</v>
      </c>
      <c r="F66" s="2" t="s">
        <v>164</v>
      </c>
    </row>
    <row r="67" customFormat="false" ht="15" hidden="false" customHeight="false" outlineLevel="0" collapsed="false">
      <c r="A67" s="32" t="s">
        <v>165</v>
      </c>
      <c r="B67" s="33"/>
      <c r="C67" s="34" t="n">
        <f aca="false">SUM(C54:C66)</f>
        <v>93</v>
      </c>
      <c r="D67" s="34" t="n">
        <f aca="false">SUM(D54:D66)</f>
        <v>100</v>
      </c>
      <c r="E67" s="33"/>
      <c r="F67" s="3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3" min="2" style="0" width="11"/>
    <col collapsed="false" customWidth="true" hidden="false" outlineLevel="0" max="14" min="14" style="0" width="13"/>
  </cols>
  <sheetData>
    <row r="1" customFormat="false" ht="19.7" hidden="false" customHeight="false" outlineLevel="0" collapsed="false">
      <c r="A1" s="1" t="s">
        <v>166</v>
      </c>
    </row>
    <row r="2" customFormat="false" ht="15" hidden="false" customHeight="false" outlineLevel="0" collapsed="false">
      <c r="A2" s="2" t="s">
        <v>167</v>
      </c>
    </row>
    <row r="4" customFormat="false" ht="15" hidden="false" customHeight="false" outlineLevel="0" collapsed="false">
      <c r="A4" s="35" t="s">
        <v>168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</row>
    <row r="5" customFormat="false" ht="21.75" hidden="false" customHeight="true" outlineLevel="0" collapsed="false">
      <c r="A5" s="3" t="s">
        <v>169</v>
      </c>
      <c r="B5" s="4" t="s">
        <v>114</v>
      </c>
      <c r="C5" s="4" t="s">
        <v>116</v>
      </c>
      <c r="D5" s="4" t="s">
        <v>118</v>
      </c>
      <c r="E5" s="4" t="s">
        <v>120</v>
      </c>
      <c r="F5" s="4" t="s">
        <v>122</v>
      </c>
      <c r="G5" s="4" t="s">
        <v>123</v>
      </c>
      <c r="H5" s="4" t="s">
        <v>124</v>
      </c>
      <c r="I5" s="4" t="s">
        <v>126</v>
      </c>
      <c r="J5" s="4" t="s">
        <v>128</v>
      </c>
      <c r="K5" s="4" t="s">
        <v>130</v>
      </c>
      <c r="L5" s="4" t="s">
        <v>132</v>
      </c>
      <c r="M5" s="4" t="s">
        <v>134</v>
      </c>
      <c r="N5" s="4" t="s">
        <v>170</v>
      </c>
    </row>
    <row r="6" customFormat="false" ht="15" hidden="false" customHeight="false" outlineLevel="0" collapsed="false">
      <c r="A6" s="5" t="s">
        <v>171</v>
      </c>
      <c r="B6" s="36" t="n">
        <v>1</v>
      </c>
      <c r="C6" s="36" t="n">
        <v>2</v>
      </c>
      <c r="D6" s="36" t="n">
        <v>3</v>
      </c>
      <c r="E6" s="36" t="n">
        <v>4</v>
      </c>
      <c r="F6" s="36" t="n">
        <v>5</v>
      </c>
      <c r="G6" s="36" t="n">
        <v>6</v>
      </c>
      <c r="H6" s="36" t="n">
        <v>7</v>
      </c>
      <c r="I6" s="36" t="n">
        <v>8</v>
      </c>
      <c r="J6" s="36" t="n">
        <v>9</v>
      </c>
      <c r="K6" s="36" t="n">
        <v>10</v>
      </c>
      <c r="L6" s="36" t="n">
        <v>11</v>
      </c>
      <c r="M6" s="36" t="n">
        <v>12</v>
      </c>
    </row>
    <row r="7" customFormat="false" ht="15" hidden="false" customHeight="false" outlineLevel="0" collapsed="false">
      <c r="A7" s="5" t="s">
        <v>172</v>
      </c>
      <c r="B7" s="37" t="n">
        <f aca="false">Supuestos!$C$38</f>
        <v>1.2</v>
      </c>
      <c r="C7" s="37" t="n">
        <f aca="false">Supuestos!$C$39</f>
        <v>1.7</v>
      </c>
      <c r="D7" s="37" t="n">
        <f aca="false">Supuestos!$C$40</f>
        <v>0.7</v>
      </c>
      <c r="E7" s="37" t="n">
        <f aca="false">Supuestos!$C$41</f>
        <v>0.95</v>
      </c>
      <c r="F7" s="37" t="n">
        <f aca="false">Supuestos!$C$42</f>
        <v>0.85</v>
      </c>
      <c r="G7" s="37" t="n">
        <f aca="false">Supuestos!$C$43</f>
        <v>0.9</v>
      </c>
      <c r="H7" s="37" t="n">
        <f aca="false">Supuestos!$C$44</f>
        <v>1.15</v>
      </c>
      <c r="I7" s="37" t="n">
        <f aca="false">Supuestos!$C$45</f>
        <v>1</v>
      </c>
      <c r="J7" s="37" t="n">
        <f aca="false">Supuestos!$C$46</f>
        <v>0.8</v>
      </c>
      <c r="K7" s="37" t="n">
        <f aca="false">Supuestos!$C$47</f>
        <v>0.9</v>
      </c>
      <c r="L7" s="37" t="n">
        <f aca="false">Supuestos!$C$48</f>
        <v>1</v>
      </c>
      <c r="M7" s="37" t="n">
        <f aca="false">Supuestos!$C$49</f>
        <v>1.05</v>
      </c>
    </row>
    <row r="8" customFormat="false" ht="15" hidden="false" customHeight="false" outlineLevel="0" collapsed="false">
      <c r="A8" s="5" t="s">
        <v>173</v>
      </c>
      <c r="B8" s="37" t="n">
        <f aca="false">Supuestos!$D$38</f>
        <v>1.15</v>
      </c>
      <c r="C8" s="37" t="n">
        <f aca="false">Supuestos!$D$39</f>
        <v>1.25</v>
      </c>
      <c r="D8" s="37" t="n">
        <f aca="false">Supuestos!$D$40</f>
        <v>0.95</v>
      </c>
      <c r="E8" s="37" t="n">
        <f aca="false">Supuestos!$D$41</f>
        <v>1</v>
      </c>
      <c r="F8" s="37" t="n">
        <f aca="false">Supuestos!$D$42</f>
        <v>1</v>
      </c>
      <c r="G8" s="37" t="n">
        <f aca="false">Supuestos!$D$43</f>
        <v>1</v>
      </c>
      <c r="H8" s="37" t="n">
        <f aca="false">Supuestos!$D$44</f>
        <v>1.05</v>
      </c>
      <c r="I8" s="37" t="n">
        <f aca="false">Supuestos!$D$45</f>
        <v>1</v>
      </c>
      <c r="J8" s="37" t="n">
        <f aca="false">Supuestos!$D$46</f>
        <v>0.95</v>
      </c>
      <c r="K8" s="37" t="n">
        <f aca="false">Supuestos!$D$47</f>
        <v>1</v>
      </c>
      <c r="L8" s="37" t="n">
        <f aca="false">Supuestos!$D$48</f>
        <v>1</v>
      </c>
      <c r="M8" s="37" t="n">
        <f aca="false">Supuestos!$D$49</f>
        <v>1.05</v>
      </c>
    </row>
    <row r="9" customFormat="false" ht="15" hidden="false" customHeight="false" outlineLevel="0" collapsed="false">
      <c r="A9" s="5" t="s">
        <v>174</v>
      </c>
      <c r="B9" s="38" t="n">
        <f aca="false">Supuestos!$C$7</f>
        <v>4000</v>
      </c>
      <c r="C9" s="38" t="n">
        <f aca="false">Supuestos!$C$7</f>
        <v>4000</v>
      </c>
      <c r="D9" s="38" t="n">
        <f aca="false">Supuestos!$C$7</f>
        <v>4000</v>
      </c>
      <c r="E9" s="38" t="n">
        <f aca="false">Supuestos!$C$7</f>
        <v>4000</v>
      </c>
      <c r="F9" s="38" t="n">
        <f aca="false">Supuestos!$C$7</f>
        <v>4000</v>
      </c>
      <c r="G9" s="38" t="n">
        <f aca="false">Supuestos!$C$7</f>
        <v>4000</v>
      </c>
      <c r="H9" s="38" t="n">
        <f aca="false">Supuestos!$C$7</f>
        <v>4000</v>
      </c>
      <c r="I9" s="38" t="n">
        <f aca="false">Supuestos!$C$7</f>
        <v>4000</v>
      </c>
      <c r="J9" s="38" t="n">
        <f aca="false">Supuestos!$C$7</f>
        <v>4000</v>
      </c>
      <c r="K9" s="38" t="n">
        <f aca="false">Supuestos!$C$7</f>
        <v>4000</v>
      </c>
      <c r="L9" s="38" t="n">
        <f aca="false">Supuestos!$C$7</f>
        <v>4000</v>
      </c>
      <c r="M9" s="38" t="n">
        <f aca="false">Supuestos!$C$7</f>
        <v>4000</v>
      </c>
      <c r="N9" s="10" t="n">
        <f aca="false">SUM(B9:M9)</f>
        <v>48000</v>
      </c>
    </row>
    <row r="10" customFormat="false" ht="15" hidden="false" customHeight="false" outlineLevel="0" collapsed="false">
      <c r="A10" s="5" t="s">
        <v>175</v>
      </c>
      <c r="B10" s="36" t="n">
        <f aca="false">B9/(Supuestos!$C$8*B8)*1000</f>
        <v>31620.5533596838</v>
      </c>
      <c r="C10" s="36" t="n">
        <f aca="false">C9/(Supuestos!$C$8*C8)*1000</f>
        <v>29090.9090909091</v>
      </c>
      <c r="D10" s="36" t="n">
        <f aca="false">D9/(Supuestos!$C$8*D8)*1000</f>
        <v>38277.5119617225</v>
      </c>
      <c r="E10" s="36" t="n">
        <f aca="false">E9/(Supuestos!$C$8*E8)*1000</f>
        <v>36363.6363636364</v>
      </c>
      <c r="F10" s="36" t="n">
        <f aca="false">F9/(Supuestos!$C$8*F8)*1000</f>
        <v>36363.6363636364</v>
      </c>
      <c r="G10" s="36" t="n">
        <f aca="false">G9/(Supuestos!$C$8*G8)*1000</f>
        <v>36363.6363636364</v>
      </c>
      <c r="H10" s="36" t="n">
        <f aca="false">H9/(Supuestos!$C$8*H8)*1000</f>
        <v>34632.0346320346</v>
      </c>
      <c r="I10" s="36" t="n">
        <f aca="false">I9/(Supuestos!$C$8*I8)*1000</f>
        <v>36363.6363636364</v>
      </c>
      <c r="J10" s="36" t="n">
        <f aca="false">J9/(Supuestos!$C$8*J8)*1000</f>
        <v>38277.5119617225</v>
      </c>
      <c r="K10" s="36" t="n">
        <f aca="false">K9/(Supuestos!$C$8*K8)*1000</f>
        <v>36363.6363636364</v>
      </c>
      <c r="L10" s="36" t="n">
        <f aca="false">L9/(Supuestos!$C$8*L8)*1000</f>
        <v>36363.6363636364</v>
      </c>
      <c r="M10" s="36" t="n">
        <f aca="false">M9/(Supuestos!$C$8*M8)*1000</f>
        <v>34632.0346320346</v>
      </c>
      <c r="N10" s="18" t="n">
        <f aca="false">SUM(B10:M10)</f>
        <v>424712.373819925</v>
      </c>
    </row>
    <row r="11" customFormat="false" ht="15" hidden="false" customHeight="false" outlineLevel="0" collapsed="false">
      <c r="A11" s="5" t="s">
        <v>176</v>
      </c>
      <c r="B11" s="36" t="n">
        <f aca="false">B10*Supuestos!$C$9</f>
        <v>252.96442687747</v>
      </c>
      <c r="C11" s="36" t="n">
        <f aca="false">C10*Supuestos!$C$9</f>
        <v>232.727272727273</v>
      </c>
      <c r="D11" s="36" t="n">
        <f aca="false">D10*Supuestos!$C$9</f>
        <v>306.22009569378</v>
      </c>
      <c r="E11" s="36" t="n">
        <f aca="false">E10*Supuestos!$C$9</f>
        <v>290.909090909091</v>
      </c>
      <c r="F11" s="36" t="n">
        <f aca="false">F10*Supuestos!$C$9</f>
        <v>290.909090909091</v>
      </c>
      <c r="G11" s="36" t="n">
        <f aca="false">G10*Supuestos!$C$9</f>
        <v>290.909090909091</v>
      </c>
      <c r="H11" s="36" t="n">
        <f aca="false">H10*Supuestos!$C$9</f>
        <v>277.056277056277</v>
      </c>
      <c r="I11" s="36" t="n">
        <f aca="false">I10*Supuestos!$C$9</f>
        <v>290.909090909091</v>
      </c>
      <c r="J11" s="36" t="n">
        <f aca="false">J10*Supuestos!$C$9</f>
        <v>306.22009569378</v>
      </c>
      <c r="K11" s="36" t="n">
        <f aca="false">K10*Supuestos!$C$9</f>
        <v>290.909090909091</v>
      </c>
      <c r="L11" s="36" t="n">
        <f aca="false">L10*Supuestos!$C$9</f>
        <v>290.909090909091</v>
      </c>
      <c r="M11" s="36" t="n">
        <f aca="false">M10*Supuestos!$C$9</f>
        <v>277.056277056277</v>
      </c>
      <c r="N11" s="18" t="n">
        <f aca="false">SUM(B11:M11)</f>
        <v>3397.6989905594</v>
      </c>
    </row>
    <row r="12" customFormat="false" ht="15" hidden="false" customHeight="false" outlineLevel="0" collapsed="false">
      <c r="A12" s="5" t="s">
        <v>177</v>
      </c>
      <c r="B12" s="39" t="n">
        <f aca="false">Supuestos!$C$10*B7</f>
        <v>0.012</v>
      </c>
      <c r="C12" s="39" t="n">
        <f aca="false">Supuestos!$C$10*C7</f>
        <v>0.017</v>
      </c>
      <c r="D12" s="39" t="n">
        <f aca="false">Supuestos!$C$10*D7</f>
        <v>0.007</v>
      </c>
      <c r="E12" s="39" t="n">
        <f aca="false">Supuestos!$C$10*E7</f>
        <v>0.0095</v>
      </c>
      <c r="F12" s="39" t="n">
        <f aca="false">Supuestos!$C$10*F7</f>
        <v>0.0085</v>
      </c>
      <c r="G12" s="39" t="n">
        <f aca="false">Supuestos!$C$10*G7</f>
        <v>0.009</v>
      </c>
      <c r="H12" s="39" t="n">
        <f aca="false">Supuestos!$C$10*H7</f>
        <v>0.0115</v>
      </c>
      <c r="I12" s="39" t="n">
        <f aca="false">Supuestos!$C$10*I7</f>
        <v>0.01</v>
      </c>
      <c r="J12" s="39" t="n">
        <f aca="false">Supuestos!$C$10*J7</f>
        <v>0.008</v>
      </c>
      <c r="K12" s="39" t="n">
        <f aca="false">Supuestos!$C$10*K7</f>
        <v>0.009</v>
      </c>
      <c r="L12" s="39" t="n">
        <f aca="false">Supuestos!$C$10*L7</f>
        <v>0.01</v>
      </c>
      <c r="M12" s="39" t="n">
        <f aca="false">Supuestos!$C$10*M7</f>
        <v>0.0105</v>
      </c>
    </row>
    <row r="13" customFormat="false" ht="15" hidden="false" customHeight="false" outlineLevel="0" collapsed="false">
      <c r="A13" s="5" t="s">
        <v>178</v>
      </c>
      <c r="B13" s="40" t="n">
        <f aca="false">B11*B12</f>
        <v>3.03557312252964</v>
      </c>
      <c r="C13" s="40" t="n">
        <f aca="false">C11*C12</f>
        <v>3.95636363636364</v>
      </c>
      <c r="D13" s="40" t="n">
        <f aca="false">D11*D12</f>
        <v>2.14354066985646</v>
      </c>
      <c r="E13" s="40" t="n">
        <f aca="false">E11*E12</f>
        <v>2.76363636363636</v>
      </c>
      <c r="F13" s="40" t="n">
        <f aca="false">F11*F12</f>
        <v>2.47272727272727</v>
      </c>
      <c r="G13" s="40" t="n">
        <f aca="false">G11*G12</f>
        <v>2.61818181818182</v>
      </c>
      <c r="H13" s="40" t="n">
        <f aca="false">H11*H12</f>
        <v>3.18614718614719</v>
      </c>
      <c r="I13" s="40" t="n">
        <f aca="false">I11*I12</f>
        <v>2.90909090909091</v>
      </c>
      <c r="J13" s="40" t="n">
        <f aca="false">J11*J12</f>
        <v>2.44976076555024</v>
      </c>
      <c r="K13" s="40" t="n">
        <f aca="false">K11*K12</f>
        <v>2.61818181818182</v>
      </c>
      <c r="L13" s="40" t="n">
        <f aca="false">L11*L12</f>
        <v>2.90909090909091</v>
      </c>
      <c r="M13" s="40" t="n">
        <f aca="false">M11*M12</f>
        <v>2.90909090909091</v>
      </c>
      <c r="N13" s="16" t="n">
        <f aca="false">SUM(B13:M13)</f>
        <v>33.9713853804472</v>
      </c>
    </row>
    <row r="14" customFormat="false" ht="15" hidden="false" customHeight="false" outlineLevel="0" collapsed="false">
      <c r="A14" s="5" t="s">
        <v>179</v>
      </c>
      <c r="B14" s="40" t="n">
        <f aca="false">Supuestos!$C$5*4.345*(1+Supuestos!$C$6)^(B6-1)*B7</f>
        <v>26.07</v>
      </c>
      <c r="C14" s="40" t="n">
        <f aca="false">Supuestos!$C$5*4.345*(1+Supuestos!$C$6)^(C6-1)*C7</f>
        <v>37.301825</v>
      </c>
      <c r="D14" s="40" t="n">
        <f aca="false">Supuestos!$C$5*4.345*(1+Supuestos!$C$6)^(D6-1)*D7</f>
        <v>15.51317075</v>
      </c>
      <c r="E14" s="40" t="n">
        <f aca="false">Supuestos!$C$5*4.345*(1+Supuestos!$C$6)^(E6-1)*E7</f>
        <v>21.26412476375</v>
      </c>
      <c r="F14" s="40" t="n">
        <f aca="false">Supuestos!$C$5*4.345*(1+Supuestos!$C$6)^(F6-1)*F7</f>
        <v>19.2160537996625</v>
      </c>
      <c r="G14" s="40" t="n">
        <f aca="false">Supuestos!$C$5*4.345*(1+Supuestos!$C$6)^(G6-1)*G7</f>
        <v>20.5498740045803</v>
      </c>
      <c r="H14" s="40" t="n">
        <f aca="false">Supuestos!$C$5*4.345*(1+Supuestos!$C$6)^(H6-1)*H7</f>
        <v>26.5207540625777</v>
      </c>
      <c r="I14" s="40" t="n">
        <f aca="false">Supuestos!$C$5*4.345*(1+Supuestos!$C$6)^(I6-1)*I7</f>
        <v>23.2921405245248</v>
      </c>
      <c r="J14" s="40" t="n">
        <f aca="false">Supuestos!$C$5*4.345*(1+Supuestos!$C$6)^(J6-1)*J7</f>
        <v>18.820049543816</v>
      </c>
      <c r="K14" s="40" t="n">
        <f aca="false">Supuestos!$C$5*4.345*(1+Supuestos!$C$6)^(K6-1)*K7</f>
        <v>21.384281294161</v>
      </c>
      <c r="L14" s="40" t="n">
        <f aca="false">Supuestos!$C$5*4.345*(1+Supuestos!$C$6)^(L6-1)*L7</f>
        <v>23.9979156745584</v>
      </c>
      <c r="M14" s="40" t="n">
        <f aca="false">Supuestos!$C$5*4.345*(1+Supuestos!$C$6)^(M6-1)*M7</f>
        <v>25.4497895728692</v>
      </c>
      <c r="N14" s="16" t="n">
        <f aca="false">SUM(B14:M14)</f>
        <v>279.3799789905</v>
      </c>
    </row>
    <row r="15" customFormat="false" ht="15" hidden="false" customHeight="false" outlineLevel="0" collapsed="false">
      <c r="A15" s="5" t="s">
        <v>180</v>
      </c>
      <c r="B15" s="40" t="n">
        <f aca="false">B13+B14</f>
        <v>29.1055731225296</v>
      </c>
      <c r="C15" s="40" t="n">
        <f aca="false">C13+C14</f>
        <v>41.2581886363636</v>
      </c>
      <c r="D15" s="40" t="n">
        <f aca="false">D13+D14</f>
        <v>17.6567114198565</v>
      </c>
      <c r="E15" s="40" t="n">
        <f aca="false">E13+E14</f>
        <v>24.0277611273864</v>
      </c>
      <c r="F15" s="40" t="n">
        <f aca="false">F13+F14</f>
        <v>21.6887810723898</v>
      </c>
      <c r="G15" s="40" t="n">
        <f aca="false">G13+G14</f>
        <v>23.1680558227621</v>
      </c>
      <c r="H15" s="40" t="n">
        <f aca="false">H13+H14</f>
        <v>29.7069012487249</v>
      </c>
      <c r="I15" s="40" t="n">
        <f aca="false">I13+I14</f>
        <v>26.2012314336157</v>
      </c>
      <c r="J15" s="40" t="n">
        <f aca="false">J13+J14</f>
        <v>21.2698103093663</v>
      </c>
      <c r="K15" s="40" t="n">
        <f aca="false">K13+K14</f>
        <v>24.0024631123428</v>
      </c>
      <c r="L15" s="40" t="n">
        <f aca="false">L13+L14</f>
        <v>26.9070065836493</v>
      </c>
      <c r="M15" s="40" t="n">
        <f aca="false">M13+M14</f>
        <v>28.3588804819601</v>
      </c>
      <c r="N15" s="16" t="n">
        <f aca="false">SUM(B15:M15)</f>
        <v>313.351364370947</v>
      </c>
    </row>
    <row r="16" customFormat="false" ht="15" hidden="false" customHeight="false" outlineLevel="0" collapsed="false">
      <c r="A16" s="5" t="s">
        <v>181</v>
      </c>
      <c r="B16" s="38" t="n">
        <f aca="false">B15*Supuestos!$C$11</f>
        <v>9313.78339920949</v>
      </c>
      <c r="C16" s="38" t="n">
        <f aca="false">C15*Supuestos!$C$11</f>
        <v>13202.6203636364</v>
      </c>
      <c r="D16" s="38" t="n">
        <f aca="false">D15*Supuestos!$C$11</f>
        <v>5650.14765435407</v>
      </c>
      <c r="E16" s="38" t="n">
        <f aca="false">E15*Supuestos!$C$11</f>
        <v>7688.88356076364</v>
      </c>
      <c r="F16" s="38" t="n">
        <f aca="false">F15*Supuestos!$C$11</f>
        <v>6940.40994316473</v>
      </c>
      <c r="G16" s="38" t="n">
        <f aca="false">G15*Supuestos!$C$11</f>
        <v>7413.77786328386</v>
      </c>
      <c r="H16" s="38" t="n">
        <f aca="false">H15*Supuestos!$C$11</f>
        <v>9506.20839959198</v>
      </c>
      <c r="I16" s="38" t="n">
        <f aca="false">I15*Supuestos!$C$11</f>
        <v>8384.39405875702</v>
      </c>
      <c r="J16" s="38" t="n">
        <f aca="false">J15*Supuestos!$C$11</f>
        <v>6806.33929899721</v>
      </c>
      <c r="K16" s="38" t="n">
        <f aca="false">K15*Supuestos!$C$11</f>
        <v>7680.78819594969</v>
      </c>
      <c r="L16" s="38" t="n">
        <f aca="false">L15*Supuestos!$C$11</f>
        <v>8610.24210676778</v>
      </c>
      <c r="M16" s="38" t="n">
        <f aca="false">M15*Supuestos!$C$11</f>
        <v>9074.84175422724</v>
      </c>
      <c r="N16" s="10" t="n">
        <f aca="false">SUM(B16:M16)</f>
        <v>100272.436598703</v>
      </c>
    </row>
    <row r="17" customFormat="false" ht="15" hidden="false" customHeight="false" outlineLevel="0" collapsed="false">
      <c r="A17" s="5" t="s">
        <v>182</v>
      </c>
      <c r="B17" s="38" t="n">
        <f aca="false">B16/(1+Supuestos!$C$23*Supuestos!$C$24)</f>
        <v>8029.12362000818</v>
      </c>
      <c r="C17" s="38" t="n">
        <f aca="false">C16/(1+Supuestos!$C$23*Supuestos!$C$24)</f>
        <v>11381.5692789969</v>
      </c>
      <c r="D17" s="38" t="n">
        <f aca="false">D16/(1+Supuestos!$C$23*Supuestos!$C$24)</f>
        <v>4870.81694340868</v>
      </c>
      <c r="E17" s="38" t="n">
        <f aca="false">E16/(1+Supuestos!$C$23*Supuestos!$C$24)</f>
        <v>6628.34789721003</v>
      </c>
      <c r="F17" s="38" t="n">
        <f aca="false">F16/(1+Supuestos!$C$23*Supuestos!$C$24)</f>
        <v>5983.11201996959</v>
      </c>
      <c r="G17" s="38" t="n">
        <f aca="false">G16/(1+Supuestos!$C$23*Supuestos!$C$24)</f>
        <v>6391.18781317574</v>
      </c>
      <c r="H17" s="38" t="n">
        <f aca="false">H16/(1+Supuestos!$C$23*Supuestos!$C$24)</f>
        <v>8195.00724102756</v>
      </c>
      <c r="I17" s="38" t="n">
        <f aca="false">I16/(1+Supuestos!$C$23*Supuestos!$C$24)</f>
        <v>7227.92591272157</v>
      </c>
      <c r="J17" s="38" t="n">
        <f aca="false">J16/(1+Supuestos!$C$23*Supuestos!$C$24)</f>
        <v>5867.53387844587</v>
      </c>
      <c r="K17" s="38" t="n">
        <f aca="false">K16/(1+Supuestos!$C$23*Supuestos!$C$24)</f>
        <v>6621.36913443939</v>
      </c>
      <c r="L17" s="38" t="n">
        <f aca="false">L16/(1+Supuestos!$C$23*Supuestos!$C$24)</f>
        <v>7422.6225058343</v>
      </c>
      <c r="M17" s="38" t="n">
        <f aca="false">M16/(1+Supuestos!$C$23*Supuestos!$C$24)</f>
        <v>7823.13944329934</v>
      </c>
      <c r="N17" s="10" t="n">
        <f aca="false">SUM(B17:M17)</f>
        <v>86441.7556885371</v>
      </c>
    </row>
    <row r="18" customFormat="false" ht="15" hidden="false" customHeight="false" outlineLevel="0" collapsed="false">
      <c r="A18" s="5" t="s">
        <v>183</v>
      </c>
      <c r="B18" s="40" t="n">
        <f aca="false">IF(B6&gt;=Supuestos!$C$21,Supuestos!$C$14,0)</f>
        <v>0</v>
      </c>
      <c r="C18" s="40" t="n">
        <f aca="false">IF(C6&gt;=Supuestos!$C$21,Supuestos!$C$14,0)</f>
        <v>0</v>
      </c>
      <c r="D18" s="40" t="n">
        <f aca="false">IF(D6&gt;=Supuestos!$C$21,Supuestos!$C$14,0)</f>
        <v>1</v>
      </c>
      <c r="E18" s="40" t="n">
        <f aca="false">IF(E6&gt;=Supuestos!$C$21,Supuestos!$C$14,0)</f>
        <v>1</v>
      </c>
      <c r="F18" s="40" t="n">
        <f aca="false">IF(F6&gt;=Supuestos!$C$21,Supuestos!$C$14,0)</f>
        <v>1</v>
      </c>
      <c r="G18" s="40" t="n">
        <f aca="false">IF(G6&gt;=Supuestos!$C$21,Supuestos!$C$14,0)</f>
        <v>1</v>
      </c>
      <c r="H18" s="40" t="n">
        <f aca="false">IF(H6&gt;=Supuestos!$C$21,Supuestos!$C$14,0)</f>
        <v>1</v>
      </c>
      <c r="I18" s="40" t="n">
        <f aca="false">IF(I6&gt;=Supuestos!$C$21,Supuestos!$C$14,0)</f>
        <v>1</v>
      </c>
      <c r="J18" s="40" t="n">
        <f aca="false">IF(J6&gt;=Supuestos!$C$21,Supuestos!$C$14,0)</f>
        <v>1</v>
      </c>
      <c r="K18" s="40" t="n">
        <f aca="false">IF(K6&gt;=Supuestos!$C$21,Supuestos!$C$14,0)</f>
        <v>1</v>
      </c>
      <c r="L18" s="40" t="n">
        <f aca="false">IF(L6&gt;=Supuestos!$C$21,Supuestos!$C$14,0)</f>
        <v>1</v>
      </c>
      <c r="M18" s="40" t="n">
        <f aca="false">IF(M6&gt;=Supuestos!$C$21,Supuestos!$C$14,0)</f>
        <v>1</v>
      </c>
      <c r="N18" s="16" t="n">
        <f aca="false">SUM(B18:M18)</f>
        <v>10</v>
      </c>
    </row>
    <row r="19" customFormat="false" ht="15" hidden="false" customHeight="false" outlineLevel="0" collapsed="false">
      <c r="A19" s="5" t="s">
        <v>184</v>
      </c>
      <c r="B19" s="40" t="n">
        <f aca="false">B18</f>
        <v>0</v>
      </c>
      <c r="C19" s="40" t="n">
        <f aca="false">B19*Supuestos!$C$15+C18</f>
        <v>0</v>
      </c>
      <c r="D19" s="40" t="n">
        <f aca="false">C19*Supuestos!$C$15+D18</f>
        <v>1</v>
      </c>
      <c r="E19" s="40" t="n">
        <f aca="false">D19*Supuestos!$C$15+E18</f>
        <v>1.9</v>
      </c>
      <c r="F19" s="40" t="n">
        <f aca="false">E19*Supuestos!$C$15+F18</f>
        <v>2.71</v>
      </c>
      <c r="G19" s="40" t="n">
        <f aca="false">F19*Supuestos!$C$15+G18</f>
        <v>3.439</v>
      </c>
      <c r="H19" s="40" t="n">
        <f aca="false">G19*Supuestos!$C$15+H18</f>
        <v>4.0951</v>
      </c>
      <c r="I19" s="40" t="n">
        <f aca="false">H19*Supuestos!$C$15+I18</f>
        <v>4.68559</v>
      </c>
      <c r="J19" s="40" t="n">
        <f aca="false">I19*Supuestos!$C$15+J18</f>
        <v>5.217031</v>
      </c>
      <c r="K19" s="40" t="n">
        <f aca="false">J19*Supuestos!$C$15+K18</f>
        <v>5.6953279</v>
      </c>
      <c r="L19" s="40" t="n">
        <f aca="false">K19*Supuestos!$C$15+L18</f>
        <v>6.12579511</v>
      </c>
      <c r="M19" s="40" t="n">
        <f aca="false">L19*Supuestos!$C$15+M18</f>
        <v>6.513215599</v>
      </c>
      <c r="N19" s="16" t="n">
        <f aca="false">M19</f>
        <v>6.513215599</v>
      </c>
    </row>
    <row r="20" customFormat="false" ht="15" hidden="false" customHeight="false" outlineLevel="0" collapsed="false">
      <c r="A20" s="5" t="s">
        <v>185</v>
      </c>
      <c r="B20" s="40" t="n">
        <f aca="false">B19*Supuestos!$C$16*B7</f>
        <v>0</v>
      </c>
      <c r="C20" s="40" t="n">
        <f aca="false">C19*Supuestos!$C$16*C7</f>
        <v>0</v>
      </c>
      <c r="D20" s="40" t="n">
        <f aca="false">D19*Supuestos!$C$16*D7</f>
        <v>0.245</v>
      </c>
      <c r="E20" s="40" t="n">
        <f aca="false">E19*Supuestos!$C$16*E7</f>
        <v>0.63175</v>
      </c>
      <c r="F20" s="40" t="n">
        <f aca="false">F19*Supuestos!$C$16*F7</f>
        <v>0.806225</v>
      </c>
      <c r="G20" s="40" t="n">
        <f aca="false">G19*Supuestos!$C$16*G7</f>
        <v>1.083285</v>
      </c>
      <c r="H20" s="40" t="n">
        <f aca="false">H19*Supuestos!$C$16*H7</f>
        <v>1.64827775</v>
      </c>
      <c r="I20" s="40" t="n">
        <f aca="false">I19*Supuestos!$C$16*I7</f>
        <v>1.6399565</v>
      </c>
      <c r="J20" s="40" t="n">
        <f aca="false">J19*Supuestos!$C$16*J7</f>
        <v>1.46076868</v>
      </c>
      <c r="K20" s="40" t="n">
        <f aca="false">K19*Supuestos!$C$16*K7</f>
        <v>1.7940282885</v>
      </c>
      <c r="L20" s="40" t="n">
        <f aca="false">L19*Supuestos!$C$16*L7</f>
        <v>2.1440282885</v>
      </c>
      <c r="M20" s="40" t="n">
        <f aca="false">M19*Supuestos!$C$16*M7</f>
        <v>2.3936067326325</v>
      </c>
      <c r="N20" s="16" t="n">
        <f aca="false">SUM(B20:M20)</f>
        <v>13.8469262396325</v>
      </c>
    </row>
    <row r="21" customFormat="false" ht="15" hidden="false" customHeight="false" outlineLevel="0" collapsed="false">
      <c r="A21" s="5" t="s">
        <v>186</v>
      </c>
      <c r="B21" s="38" t="n">
        <f aca="false">B20*Supuestos!$C$17</f>
        <v>0</v>
      </c>
      <c r="C21" s="38" t="n">
        <f aca="false">C20*Supuestos!$C$17</f>
        <v>0</v>
      </c>
      <c r="D21" s="38" t="n">
        <f aca="false">D20*Supuestos!$C$17</f>
        <v>441</v>
      </c>
      <c r="E21" s="38" t="n">
        <f aca="false">E20*Supuestos!$C$17</f>
        <v>1137.15</v>
      </c>
      <c r="F21" s="38" t="n">
        <f aca="false">F20*Supuestos!$C$17</f>
        <v>1451.205</v>
      </c>
      <c r="G21" s="38" t="n">
        <f aca="false">G20*Supuestos!$C$17</f>
        <v>1949.913</v>
      </c>
      <c r="H21" s="38" t="n">
        <f aca="false">H20*Supuestos!$C$17</f>
        <v>2966.89995</v>
      </c>
      <c r="I21" s="38" t="n">
        <f aca="false">I20*Supuestos!$C$17</f>
        <v>2951.9217</v>
      </c>
      <c r="J21" s="38" t="n">
        <f aca="false">J20*Supuestos!$C$17</f>
        <v>2629.383624</v>
      </c>
      <c r="K21" s="38" t="n">
        <f aca="false">K20*Supuestos!$C$17</f>
        <v>3229.2509193</v>
      </c>
      <c r="L21" s="38" t="n">
        <f aca="false">L20*Supuestos!$C$17</f>
        <v>3859.2509193</v>
      </c>
      <c r="M21" s="38" t="n">
        <f aca="false">M20*Supuestos!$C$17</f>
        <v>4308.4921187385</v>
      </c>
      <c r="N21" s="10" t="n">
        <f aca="false">SUM(B21:M21)</f>
        <v>24924.4672313385</v>
      </c>
    </row>
    <row r="22" customFormat="false" ht="15" hidden="false" customHeight="false" outlineLevel="0" collapsed="false">
      <c r="A22" s="12" t="s">
        <v>187</v>
      </c>
      <c r="B22" s="13" t="n">
        <f aca="false">B17+B21</f>
        <v>8029.12362000818</v>
      </c>
      <c r="C22" s="13" t="n">
        <f aca="false">C17+C21</f>
        <v>11381.5692789969</v>
      </c>
      <c r="D22" s="13" t="n">
        <f aca="false">D17+D21</f>
        <v>5311.81694340868</v>
      </c>
      <c r="E22" s="13" t="n">
        <f aca="false">E17+E21</f>
        <v>7765.49789721003</v>
      </c>
      <c r="F22" s="13" t="n">
        <f aca="false">F17+F21</f>
        <v>7434.31701996959</v>
      </c>
      <c r="G22" s="13" t="n">
        <f aca="false">G17+G21</f>
        <v>8341.10081317574</v>
      </c>
      <c r="H22" s="13" t="n">
        <f aca="false">H17+H21</f>
        <v>11161.9071910276</v>
      </c>
      <c r="I22" s="13" t="n">
        <f aca="false">I17+I21</f>
        <v>10179.8476127216</v>
      </c>
      <c r="J22" s="13" t="n">
        <f aca="false">J17+J21</f>
        <v>8496.91750244587</v>
      </c>
      <c r="K22" s="13" t="n">
        <f aca="false">K17+K21</f>
        <v>9850.62005373939</v>
      </c>
      <c r="L22" s="13" t="n">
        <f aca="false">L17+L21</f>
        <v>11281.8734251343</v>
      </c>
      <c r="M22" s="13" t="n">
        <f aca="false">M17+M21</f>
        <v>12131.6315620378</v>
      </c>
      <c r="N22" s="13" t="n">
        <f aca="false">SUM(B22:M22)</f>
        <v>111366.222919876</v>
      </c>
    </row>
    <row r="24" customFormat="false" ht="15" hidden="false" customHeight="false" outlineLevel="0" collapsed="false">
      <c r="A24" s="35" t="s">
        <v>188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</row>
    <row r="25" customFormat="false" ht="21.75" hidden="false" customHeight="true" outlineLevel="0" collapsed="false">
      <c r="A25" s="3" t="s">
        <v>169</v>
      </c>
      <c r="B25" s="4" t="s">
        <v>114</v>
      </c>
      <c r="C25" s="4" t="s">
        <v>116</v>
      </c>
      <c r="D25" s="4" t="s">
        <v>118</v>
      </c>
      <c r="E25" s="4" t="s">
        <v>120</v>
      </c>
      <c r="F25" s="4" t="s">
        <v>122</v>
      </c>
      <c r="G25" s="4" t="s">
        <v>123</v>
      </c>
      <c r="H25" s="4" t="s">
        <v>124</v>
      </c>
      <c r="I25" s="4" t="s">
        <v>126</v>
      </c>
      <c r="J25" s="4" t="s">
        <v>128</v>
      </c>
      <c r="K25" s="4" t="s">
        <v>130</v>
      </c>
      <c r="L25" s="4" t="s">
        <v>132</v>
      </c>
      <c r="M25" s="4" t="s">
        <v>134</v>
      </c>
      <c r="N25" s="4" t="s">
        <v>170</v>
      </c>
    </row>
    <row r="26" customFormat="false" ht="15" hidden="false" customHeight="false" outlineLevel="0" collapsed="false">
      <c r="A26" s="5" t="s">
        <v>171</v>
      </c>
      <c r="B26" s="36" t="n">
        <v>1</v>
      </c>
      <c r="C26" s="36" t="n">
        <v>2</v>
      </c>
      <c r="D26" s="36" t="n">
        <v>3</v>
      </c>
      <c r="E26" s="36" t="n">
        <v>4</v>
      </c>
      <c r="F26" s="36" t="n">
        <v>5</v>
      </c>
      <c r="G26" s="36" t="n">
        <v>6</v>
      </c>
      <c r="H26" s="36" t="n">
        <v>7</v>
      </c>
      <c r="I26" s="36" t="n">
        <v>8</v>
      </c>
      <c r="J26" s="36" t="n">
        <v>9</v>
      </c>
      <c r="K26" s="36" t="n">
        <v>10</v>
      </c>
      <c r="L26" s="36" t="n">
        <v>11</v>
      </c>
      <c r="M26" s="36" t="n">
        <v>12</v>
      </c>
    </row>
    <row r="27" customFormat="false" ht="15" hidden="false" customHeight="false" outlineLevel="0" collapsed="false">
      <c r="A27" s="5" t="s">
        <v>172</v>
      </c>
      <c r="B27" s="37" t="n">
        <f aca="false">Supuestos!$C$38</f>
        <v>1.2</v>
      </c>
      <c r="C27" s="37" t="n">
        <f aca="false">Supuestos!$C$39</f>
        <v>1.7</v>
      </c>
      <c r="D27" s="37" t="n">
        <f aca="false">Supuestos!$C$40</f>
        <v>0.7</v>
      </c>
      <c r="E27" s="37" t="n">
        <f aca="false">Supuestos!$C$41</f>
        <v>0.95</v>
      </c>
      <c r="F27" s="37" t="n">
        <f aca="false">Supuestos!$C$42</f>
        <v>0.85</v>
      </c>
      <c r="G27" s="37" t="n">
        <f aca="false">Supuestos!$C$43</f>
        <v>0.9</v>
      </c>
      <c r="H27" s="37" t="n">
        <f aca="false">Supuestos!$C$44</f>
        <v>1.15</v>
      </c>
      <c r="I27" s="37" t="n">
        <f aca="false">Supuestos!$C$45</f>
        <v>1</v>
      </c>
      <c r="J27" s="37" t="n">
        <f aca="false">Supuestos!$C$46</f>
        <v>0.8</v>
      </c>
      <c r="K27" s="37" t="n">
        <f aca="false">Supuestos!$C$47</f>
        <v>0.9</v>
      </c>
      <c r="L27" s="37" t="n">
        <f aca="false">Supuestos!$C$48</f>
        <v>1</v>
      </c>
      <c r="M27" s="37" t="n">
        <f aca="false">Supuestos!$C$49</f>
        <v>1.05</v>
      </c>
    </row>
    <row r="28" customFormat="false" ht="15" hidden="false" customHeight="false" outlineLevel="0" collapsed="false">
      <c r="A28" s="5" t="s">
        <v>173</v>
      </c>
      <c r="B28" s="37" t="n">
        <f aca="false">Supuestos!$D$38</f>
        <v>1.15</v>
      </c>
      <c r="C28" s="37" t="n">
        <f aca="false">Supuestos!$D$39</f>
        <v>1.25</v>
      </c>
      <c r="D28" s="37" t="n">
        <f aca="false">Supuestos!$D$40</f>
        <v>0.95</v>
      </c>
      <c r="E28" s="37" t="n">
        <f aca="false">Supuestos!$D$41</f>
        <v>1</v>
      </c>
      <c r="F28" s="37" t="n">
        <f aca="false">Supuestos!$D$42</f>
        <v>1</v>
      </c>
      <c r="G28" s="37" t="n">
        <f aca="false">Supuestos!$D$43</f>
        <v>1</v>
      </c>
      <c r="H28" s="37" t="n">
        <f aca="false">Supuestos!$D$44</f>
        <v>1.05</v>
      </c>
      <c r="I28" s="37" t="n">
        <f aca="false">Supuestos!$D$45</f>
        <v>1</v>
      </c>
      <c r="J28" s="37" t="n">
        <f aca="false">Supuestos!$D$46</f>
        <v>0.95</v>
      </c>
      <c r="K28" s="37" t="n">
        <f aca="false">Supuestos!$D$47</f>
        <v>1</v>
      </c>
      <c r="L28" s="37" t="n">
        <f aca="false">Supuestos!$D$48</f>
        <v>1</v>
      </c>
      <c r="M28" s="37" t="n">
        <f aca="false">Supuestos!$D$49</f>
        <v>1.05</v>
      </c>
    </row>
    <row r="29" customFormat="false" ht="15" hidden="false" customHeight="false" outlineLevel="0" collapsed="false">
      <c r="A29" s="5" t="s">
        <v>174</v>
      </c>
      <c r="B29" s="38" t="n">
        <f aca="false">Supuestos!$D$7</f>
        <v>6000</v>
      </c>
      <c r="C29" s="38" t="n">
        <f aca="false">Supuestos!$D$7</f>
        <v>6000</v>
      </c>
      <c r="D29" s="38" t="n">
        <f aca="false">Supuestos!$D$7</f>
        <v>6000</v>
      </c>
      <c r="E29" s="38" t="n">
        <f aca="false">Supuestos!$D$7</f>
        <v>6000</v>
      </c>
      <c r="F29" s="38" t="n">
        <f aca="false">Supuestos!$D$7</f>
        <v>6000</v>
      </c>
      <c r="G29" s="38" t="n">
        <f aca="false">Supuestos!$D$7</f>
        <v>6000</v>
      </c>
      <c r="H29" s="38" t="n">
        <f aca="false">Supuestos!$D$7</f>
        <v>6000</v>
      </c>
      <c r="I29" s="38" t="n">
        <f aca="false">Supuestos!$D$7</f>
        <v>6000</v>
      </c>
      <c r="J29" s="38" t="n">
        <f aca="false">Supuestos!$D$7</f>
        <v>6000</v>
      </c>
      <c r="K29" s="38" t="n">
        <f aca="false">Supuestos!$D$7</f>
        <v>6000</v>
      </c>
      <c r="L29" s="38" t="n">
        <f aca="false">Supuestos!$D$7</f>
        <v>6000</v>
      </c>
      <c r="M29" s="38" t="n">
        <f aca="false">Supuestos!$D$7</f>
        <v>6000</v>
      </c>
      <c r="N29" s="10" t="n">
        <f aca="false">SUM(B29:M29)</f>
        <v>72000</v>
      </c>
    </row>
    <row r="30" customFormat="false" ht="15" hidden="false" customHeight="false" outlineLevel="0" collapsed="false">
      <c r="A30" s="5" t="s">
        <v>175</v>
      </c>
      <c r="B30" s="36" t="n">
        <f aca="false">B29/(Supuestos!$D$8*B28)*1000</f>
        <v>61381.074168798</v>
      </c>
      <c r="C30" s="36" t="n">
        <f aca="false">C29/(Supuestos!$D$8*C28)*1000</f>
        <v>56470.5882352941</v>
      </c>
      <c r="D30" s="36" t="n">
        <f aca="false">D29/(Supuestos!$D$8*D28)*1000</f>
        <v>74303.4055727554</v>
      </c>
      <c r="E30" s="36" t="n">
        <f aca="false">E29/(Supuestos!$D$8*E28)*1000</f>
        <v>70588.2352941177</v>
      </c>
      <c r="F30" s="36" t="n">
        <f aca="false">F29/(Supuestos!$D$8*F28)*1000</f>
        <v>70588.2352941177</v>
      </c>
      <c r="G30" s="36" t="n">
        <f aca="false">G29/(Supuestos!$D$8*G28)*1000</f>
        <v>70588.2352941177</v>
      </c>
      <c r="H30" s="36" t="n">
        <f aca="false">H29/(Supuestos!$D$8*H28)*1000</f>
        <v>67226.8907563025</v>
      </c>
      <c r="I30" s="36" t="n">
        <f aca="false">I29/(Supuestos!$D$8*I28)*1000</f>
        <v>70588.2352941177</v>
      </c>
      <c r="J30" s="36" t="n">
        <f aca="false">J29/(Supuestos!$D$8*J28)*1000</f>
        <v>74303.4055727554</v>
      </c>
      <c r="K30" s="36" t="n">
        <f aca="false">K29/(Supuestos!$D$8*K28)*1000</f>
        <v>70588.2352941177</v>
      </c>
      <c r="L30" s="36" t="n">
        <f aca="false">L29/(Supuestos!$D$8*L28)*1000</f>
        <v>70588.2352941177</v>
      </c>
      <c r="M30" s="36" t="n">
        <f aca="false">M29/(Supuestos!$D$8*M28)*1000</f>
        <v>67226.8907563025</v>
      </c>
      <c r="N30" s="18" t="n">
        <f aca="false">SUM(B30:M30)</f>
        <v>824441.666826914</v>
      </c>
    </row>
    <row r="31" customFormat="false" ht="15" hidden="false" customHeight="false" outlineLevel="0" collapsed="false">
      <c r="A31" s="5" t="s">
        <v>176</v>
      </c>
      <c r="B31" s="36" t="n">
        <f aca="false">B30*Supuestos!$D$9</f>
        <v>736.572890025576</v>
      </c>
      <c r="C31" s="36" t="n">
        <f aca="false">C30*Supuestos!$D$9</f>
        <v>677.647058823529</v>
      </c>
      <c r="D31" s="36" t="n">
        <f aca="false">D30*Supuestos!$D$9</f>
        <v>891.640866873065</v>
      </c>
      <c r="E31" s="36" t="n">
        <f aca="false">E30*Supuestos!$D$9</f>
        <v>847.058823529412</v>
      </c>
      <c r="F31" s="36" t="n">
        <f aca="false">F30*Supuestos!$D$9</f>
        <v>847.058823529412</v>
      </c>
      <c r="G31" s="36" t="n">
        <f aca="false">G30*Supuestos!$D$9</f>
        <v>847.058823529412</v>
      </c>
      <c r="H31" s="36" t="n">
        <f aca="false">H30*Supuestos!$D$9</f>
        <v>806.72268907563</v>
      </c>
      <c r="I31" s="36" t="n">
        <f aca="false">I30*Supuestos!$D$9</f>
        <v>847.058823529412</v>
      </c>
      <c r="J31" s="36" t="n">
        <f aca="false">J30*Supuestos!$D$9</f>
        <v>891.640866873065</v>
      </c>
      <c r="K31" s="36" t="n">
        <f aca="false">K30*Supuestos!$D$9</f>
        <v>847.058823529412</v>
      </c>
      <c r="L31" s="36" t="n">
        <f aca="false">L30*Supuestos!$D$9</f>
        <v>847.058823529412</v>
      </c>
      <c r="M31" s="36" t="n">
        <f aca="false">M30*Supuestos!$D$9</f>
        <v>806.72268907563</v>
      </c>
      <c r="N31" s="18" t="n">
        <f aca="false">SUM(B31:M31)</f>
        <v>9893.30000192297</v>
      </c>
    </row>
    <row r="32" customFormat="false" ht="15" hidden="false" customHeight="false" outlineLevel="0" collapsed="false">
      <c r="A32" s="5" t="s">
        <v>177</v>
      </c>
      <c r="B32" s="39" t="n">
        <f aca="false">Supuestos!$D$10*B27</f>
        <v>0.018</v>
      </c>
      <c r="C32" s="39" t="n">
        <f aca="false">Supuestos!$D$10*C27</f>
        <v>0.0255</v>
      </c>
      <c r="D32" s="39" t="n">
        <f aca="false">Supuestos!$D$10*D27</f>
        <v>0.0105</v>
      </c>
      <c r="E32" s="39" t="n">
        <f aca="false">Supuestos!$D$10*E27</f>
        <v>0.01425</v>
      </c>
      <c r="F32" s="39" t="n">
        <f aca="false">Supuestos!$D$10*F27</f>
        <v>0.01275</v>
      </c>
      <c r="G32" s="39" t="n">
        <f aca="false">Supuestos!$D$10*G27</f>
        <v>0.0135</v>
      </c>
      <c r="H32" s="39" t="n">
        <f aca="false">Supuestos!$D$10*H27</f>
        <v>0.01725</v>
      </c>
      <c r="I32" s="39" t="n">
        <f aca="false">Supuestos!$D$10*I27</f>
        <v>0.015</v>
      </c>
      <c r="J32" s="39" t="n">
        <f aca="false">Supuestos!$D$10*J27</f>
        <v>0.012</v>
      </c>
      <c r="K32" s="39" t="n">
        <f aca="false">Supuestos!$D$10*K27</f>
        <v>0.0135</v>
      </c>
      <c r="L32" s="39" t="n">
        <f aca="false">Supuestos!$D$10*L27</f>
        <v>0.015</v>
      </c>
      <c r="M32" s="39" t="n">
        <f aca="false">Supuestos!$D$10*M27</f>
        <v>0.01575</v>
      </c>
    </row>
    <row r="33" customFormat="false" ht="15" hidden="false" customHeight="false" outlineLevel="0" collapsed="false">
      <c r="A33" s="5" t="s">
        <v>178</v>
      </c>
      <c r="B33" s="40" t="n">
        <f aca="false">B31*B32</f>
        <v>13.2583120204604</v>
      </c>
      <c r="C33" s="40" t="n">
        <f aca="false">C31*C32</f>
        <v>17.28</v>
      </c>
      <c r="D33" s="40" t="n">
        <f aca="false">D31*D32</f>
        <v>9.36222910216718</v>
      </c>
      <c r="E33" s="40" t="n">
        <f aca="false">E31*E32</f>
        <v>12.0705882352941</v>
      </c>
      <c r="F33" s="40" t="n">
        <f aca="false">F31*F32</f>
        <v>10.8</v>
      </c>
      <c r="G33" s="40" t="n">
        <f aca="false">G31*G32</f>
        <v>11.4352941176471</v>
      </c>
      <c r="H33" s="40" t="n">
        <f aca="false">H31*H32</f>
        <v>13.9159663865546</v>
      </c>
      <c r="I33" s="40" t="n">
        <f aca="false">I31*I32</f>
        <v>12.7058823529412</v>
      </c>
      <c r="J33" s="40" t="n">
        <f aca="false">J31*J32</f>
        <v>10.6996904024768</v>
      </c>
      <c r="K33" s="40" t="n">
        <f aca="false">K31*K32</f>
        <v>11.4352941176471</v>
      </c>
      <c r="L33" s="40" t="n">
        <f aca="false">L31*L32</f>
        <v>12.7058823529412</v>
      </c>
      <c r="M33" s="40" t="n">
        <f aca="false">M31*M32</f>
        <v>12.7058823529412</v>
      </c>
      <c r="N33" s="16" t="n">
        <f aca="false">SUM(B33:M33)</f>
        <v>148.375021441071</v>
      </c>
    </row>
    <row r="34" customFormat="false" ht="15" hidden="false" customHeight="false" outlineLevel="0" collapsed="false">
      <c r="A34" s="5" t="s">
        <v>179</v>
      </c>
      <c r="B34" s="40" t="n">
        <f aca="false">Supuestos!$D$5*4.345*(1+Supuestos!$D$6)^(B26-1)*B27</f>
        <v>46.926</v>
      </c>
      <c r="C34" s="40" t="n">
        <f aca="false">Supuestos!$D$5*4.345*(1+Supuestos!$D$6)^(C26-1)*C27</f>
        <v>68.472855</v>
      </c>
      <c r="D34" s="40" t="n">
        <f aca="false">Supuestos!$D$5*4.345*(1+Supuestos!$D$6)^(D26-1)*D27</f>
        <v>29.04054615</v>
      </c>
      <c r="E34" s="40" t="n">
        <f aca="false">Supuestos!$D$5*4.345*(1+Supuestos!$D$6)^(E26-1)*E27</f>
        <v>40.59453486825</v>
      </c>
      <c r="F34" s="40" t="n">
        <f aca="false">Supuestos!$D$5*4.345*(1+Supuestos!$D$6)^(F26-1)*F27</f>
        <v>37.4110687127925</v>
      </c>
      <c r="G34" s="40" t="n">
        <f aca="false">Supuestos!$D$5*4.345*(1+Supuestos!$D$6)^(G26-1)*G27</f>
        <v>40.8000714079514</v>
      </c>
      <c r="H34" s="40" t="n">
        <f aca="false">Supuestos!$D$5*4.345*(1+Supuestos!$D$6)^(H26-1)*H27</f>
        <v>53.6974273141315</v>
      </c>
      <c r="I34" s="40" t="n">
        <f aca="false">Supuestos!$D$5*4.345*(1+Supuestos!$D$6)^(I26-1)*I27</f>
        <v>48.0942175074395</v>
      </c>
      <c r="J34" s="40" t="n">
        <f aca="false">Supuestos!$D$5*4.345*(1+Supuestos!$D$6)^(J26-1)*J27</f>
        <v>39.6296352261302</v>
      </c>
      <c r="K34" s="40" t="n">
        <f aca="false">Supuestos!$D$5*4.345*(1+Supuestos!$D$6)^(K26-1)*K27</f>
        <v>45.9208398182784</v>
      </c>
      <c r="L34" s="40" t="n">
        <f aca="false">Supuestos!$D$5*4.345*(1+Supuestos!$D$6)^(L26-1)*L27</f>
        <v>52.5538500142519</v>
      </c>
      <c r="M34" s="40" t="n">
        <f aca="false">Supuestos!$D$5*4.345*(1+Supuestos!$D$6)^(M26-1)*M27</f>
        <v>56.8369887904134</v>
      </c>
      <c r="N34" s="16" t="n">
        <f aca="false">SUM(B34:M34)</f>
        <v>559.978034809639</v>
      </c>
    </row>
    <row r="35" customFormat="false" ht="15" hidden="false" customHeight="false" outlineLevel="0" collapsed="false">
      <c r="A35" s="5" t="s">
        <v>180</v>
      </c>
      <c r="B35" s="40" t="n">
        <f aca="false">B33+B34</f>
        <v>60.1843120204604</v>
      </c>
      <c r="C35" s="40" t="n">
        <f aca="false">C33+C34</f>
        <v>85.752855</v>
      </c>
      <c r="D35" s="40" t="n">
        <f aca="false">D33+D34</f>
        <v>38.4027752521672</v>
      </c>
      <c r="E35" s="40" t="n">
        <f aca="false">E33+E34</f>
        <v>52.6651231035441</v>
      </c>
      <c r="F35" s="40" t="n">
        <f aca="false">F33+F34</f>
        <v>48.2110687127925</v>
      </c>
      <c r="G35" s="40" t="n">
        <f aca="false">G33+G34</f>
        <v>52.2353655255984</v>
      </c>
      <c r="H35" s="40" t="n">
        <f aca="false">H33+H34</f>
        <v>67.6133937006862</v>
      </c>
      <c r="I35" s="40" t="n">
        <f aca="false">I33+I34</f>
        <v>60.8000998603807</v>
      </c>
      <c r="J35" s="40" t="n">
        <f aca="false">J33+J34</f>
        <v>50.329325628607</v>
      </c>
      <c r="K35" s="40" t="n">
        <f aca="false">K33+K34</f>
        <v>57.3561339359254</v>
      </c>
      <c r="L35" s="40" t="n">
        <f aca="false">L33+L34</f>
        <v>65.2597323671931</v>
      </c>
      <c r="M35" s="40" t="n">
        <f aca="false">M33+M34</f>
        <v>69.5428711433546</v>
      </c>
      <c r="N35" s="16" t="n">
        <f aca="false">SUM(B35:M35)</f>
        <v>708.353056250709</v>
      </c>
    </row>
    <row r="36" customFormat="false" ht="15" hidden="false" customHeight="false" outlineLevel="0" collapsed="false">
      <c r="A36" s="5" t="s">
        <v>181</v>
      </c>
      <c r="B36" s="38" t="n">
        <f aca="false">B35*Supuestos!$D$11</f>
        <v>22870.0385677749</v>
      </c>
      <c r="C36" s="38" t="n">
        <f aca="false">C35*Supuestos!$D$11</f>
        <v>32586.0849</v>
      </c>
      <c r="D36" s="38" t="n">
        <f aca="false">D35*Supuestos!$D$11</f>
        <v>14593.0545958235</v>
      </c>
      <c r="E36" s="38" t="n">
        <f aca="false">E35*Supuestos!$D$11</f>
        <v>20012.7467793468</v>
      </c>
      <c r="F36" s="38" t="n">
        <f aca="false">F35*Supuestos!$D$11</f>
        <v>18320.2061108612</v>
      </c>
      <c r="G36" s="38" t="n">
        <f aca="false">G35*Supuestos!$D$11</f>
        <v>19849.4388997274</v>
      </c>
      <c r="H36" s="38" t="n">
        <f aca="false">H35*Supuestos!$D$11</f>
        <v>25693.0896062607</v>
      </c>
      <c r="I36" s="38" t="n">
        <f aca="false">I35*Supuestos!$D$11</f>
        <v>23104.0379469447</v>
      </c>
      <c r="J36" s="38" t="n">
        <f aca="false">J35*Supuestos!$D$11</f>
        <v>19125.1437388707</v>
      </c>
      <c r="K36" s="38" t="n">
        <f aca="false">K35*Supuestos!$D$11</f>
        <v>21795.3308956517</v>
      </c>
      <c r="L36" s="38" t="n">
        <f aca="false">L35*Supuestos!$D$11</f>
        <v>24798.6982995334</v>
      </c>
      <c r="M36" s="38" t="n">
        <f aca="false">M35*Supuestos!$D$11</f>
        <v>26426.2910344748</v>
      </c>
      <c r="N36" s="10" t="n">
        <f aca="false">SUM(B36:M36)</f>
        <v>269174.16137527</v>
      </c>
    </row>
    <row r="37" customFormat="false" ht="15" hidden="false" customHeight="false" outlineLevel="0" collapsed="false">
      <c r="A37" s="5" t="s">
        <v>182</v>
      </c>
      <c r="B37" s="38" t="n">
        <f aca="false">B36/(1+Supuestos!$C$23*Supuestos!$C$24)</f>
        <v>19715.5504894612</v>
      </c>
      <c r="C37" s="38" t="n">
        <f aca="false">C36/(1+Supuestos!$C$23*Supuestos!$C$24)</f>
        <v>28091.4525</v>
      </c>
      <c r="D37" s="38" t="n">
        <f aca="false">D36/(1+Supuestos!$C$23*Supuestos!$C$24)</f>
        <v>12580.2194791582</v>
      </c>
      <c r="E37" s="38" t="n">
        <f aca="false">E36/(1+Supuestos!$C$23*Supuestos!$C$24)</f>
        <v>17252.36791323</v>
      </c>
      <c r="F37" s="38" t="n">
        <f aca="false">F36/(1+Supuestos!$C$23*Supuestos!$C$24)</f>
        <v>15793.2811300527</v>
      </c>
      <c r="G37" s="38" t="n">
        <f aca="false">G36/(1+Supuestos!$C$23*Supuestos!$C$24)</f>
        <v>17111.5852583857</v>
      </c>
      <c r="H37" s="38" t="n">
        <f aca="false">H36/(1+Supuestos!$C$23*Supuestos!$C$24)</f>
        <v>22149.215177811</v>
      </c>
      <c r="I37" s="38" t="n">
        <f aca="false">I36/(1+Supuestos!$C$23*Supuestos!$C$24)</f>
        <v>19917.2740921937</v>
      </c>
      <c r="J37" s="38" t="n">
        <f aca="false">J36/(1+Supuestos!$C$23*Supuestos!$C$24)</f>
        <v>16487.1928783368</v>
      </c>
      <c r="K37" s="38" t="n">
        <f aca="false">K36/(1+Supuestos!$C$23*Supuestos!$C$24)</f>
        <v>18789.0783583204</v>
      </c>
      <c r="L37" s="38" t="n">
        <f aca="false">L36/(1+Supuestos!$C$23*Supuestos!$C$24)</f>
        <v>21378.1881892529</v>
      </c>
      <c r="M37" s="38" t="n">
        <f aca="false">M36/(1+Supuestos!$C$23*Supuestos!$C$24)</f>
        <v>22781.2853745472</v>
      </c>
      <c r="N37" s="10" t="n">
        <f aca="false">SUM(B37:M37)</f>
        <v>232046.69084075</v>
      </c>
    </row>
    <row r="38" customFormat="false" ht="15" hidden="false" customHeight="false" outlineLevel="0" collapsed="false">
      <c r="A38" s="5" t="s">
        <v>183</v>
      </c>
      <c r="B38" s="40" t="n">
        <f aca="false">IF(B26&gt;=Supuestos!$C$21,Supuestos!$D$14,0)</f>
        <v>0</v>
      </c>
      <c r="C38" s="40" t="n">
        <f aca="false">IF(C26&gt;=Supuestos!$C$21,Supuestos!$D$14,0)</f>
        <v>0</v>
      </c>
      <c r="D38" s="40" t="n">
        <f aca="false">IF(D26&gt;=Supuestos!$C$21,Supuestos!$D$14,0)</f>
        <v>2</v>
      </c>
      <c r="E38" s="40" t="n">
        <f aca="false">IF(E26&gt;=Supuestos!$C$21,Supuestos!$D$14,0)</f>
        <v>2</v>
      </c>
      <c r="F38" s="40" t="n">
        <f aca="false">IF(F26&gt;=Supuestos!$C$21,Supuestos!$D$14,0)</f>
        <v>2</v>
      </c>
      <c r="G38" s="40" t="n">
        <f aca="false">IF(G26&gt;=Supuestos!$C$21,Supuestos!$D$14,0)</f>
        <v>2</v>
      </c>
      <c r="H38" s="40" t="n">
        <f aca="false">IF(H26&gt;=Supuestos!$C$21,Supuestos!$D$14,0)</f>
        <v>2</v>
      </c>
      <c r="I38" s="40" t="n">
        <f aca="false">IF(I26&gt;=Supuestos!$C$21,Supuestos!$D$14,0)</f>
        <v>2</v>
      </c>
      <c r="J38" s="40" t="n">
        <f aca="false">IF(J26&gt;=Supuestos!$C$21,Supuestos!$D$14,0)</f>
        <v>2</v>
      </c>
      <c r="K38" s="40" t="n">
        <f aca="false">IF(K26&gt;=Supuestos!$C$21,Supuestos!$D$14,0)</f>
        <v>2</v>
      </c>
      <c r="L38" s="40" t="n">
        <f aca="false">IF(L26&gt;=Supuestos!$C$21,Supuestos!$D$14,0)</f>
        <v>2</v>
      </c>
      <c r="M38" s="40" t="n">
        <f aca="false">IF(M26&gt;=Supuestos!$C$21,Supuestos!$D$14,0)</f>
        <v>2</v>
      </c>
      <c r="N38" s="16" t="n">
        <f aca="false">SUM(B38:M38)</f>
        <v>20</v>
      </c>
    </row>
    <row r="39" customFormat="false" ht="15" hidden="false" customHeight="false" outlineLevel="0" collapsed="false">
      <c r="A39" s="5" t="s">
        <v>184</v>
      </c>
      <c r="B39" s="40" t="n">
        <f aca="false">B38</f>
        <v>0</v>
      </c>
      <c r="C39" s="40" t="n">
        <f aca="false">B39*Supuestos!$D$15+C38</f>
        <v>0</v>
      </c>
      <c r="D39" s="40" t="n">
        <f aca="false">C39*Supuestos!$D$15+D38</f>
        <v>2</v>
      </c>
      <c r="E39" s="40" t="n">
        <f aca="false">D39*Supuestos!$D$15+E38</f>
        <v>3.86</v>
      </c>
      <c r="F39" s="40" t="n">
        <f aca="false">E39*Supuestos!$D$15+F38</f>
        <v>5.5898</v>
      </c>
      <c r="G39" s="40" t="n">
        <f aca="false">F39*Supuestos!$D$15+G38</f>
        <v>7.198514</v>
      </c>
      <c r="H39" s="40" t="n">
        <f aca="false">G39*Supuestos!$D$15+H38</f>
        <v>8.69461802</v>
      </c>
      <c r="I39" s="40" t="n">
        <f aca="false">H39*Supuestos!$D$15+I38</f>
        <v>10.0859947586</v>
      </c>
      <c r="J39" s="40" t="n">
        <f aca="false">I39*Supuestos!$D$15+J38</f>
        <v>11.379975125498</v>
      </c>
      <c r="K39" s="40" t="n">
        <f aca="false">J39*Supuestos!$D$15+K38</f>
        <v>12.5833768667131</v>
      </c>
      <c r="L39" s="40" t="n">
        <f aca="false">K39*Supuestos!$D$15+L38</f>
        <v>13.7025404860432</v>
      </c>
      <c r="M39" s="40" t="n">
        <f aca="false">L39*Supuestos!$D$15+M38</f>
        <v>14.7433626520202</v>
      </c>
      <c r="N39" s="16" t="n">
        <f aca="false">M39</f>
        <v>14.7433626520202</v>
      </c>
    </row>
    <row r="40" customFormat="false" ht="15" hidden="false" customHeight="false" outlineLevel="0" collapsed="false">
      <c r="A40" s="5" t="s">
        <v>185</v>
      </c>
      <c r="B40" s="40" t="n">
        <f aca="false">B39*Supuestos!$D$16*B27</f>
        <v>0</v>
      </c>
      <c r="C40" s="40" t="n">
        <f aca="false">C39*Supuestos!$D$16*C27</f>
        <v>0</v>
      </c>
      <c r="D40" s="40" t="n">
        <f aca="false">D39*Supuestos!$D$16*D27</f>
        <v>0.7</v>
      </c>
      <c r="E40" s="40" t="n">
        <f aca="false">E39*Supuestos!$D$16*E27</f>
        <v>1.8335</v>
      </c>
      <c r="F40" s="40" t="n">
        <f aca="false">F39*Supuestos!$D$16*F27</f>
        <v>2.375665</v>
      </c>
      <c r="G40" s="40" t="n">
        <f aca="false">G39*Supuestos!$D$16*G27</f>
        <v>3.2393313</v>
      </c>
      <c r="H40" s="40" t="n">
        <f aca="false">H39*Supuestos!$D$16*H27</f>
        <v>4.9994053615</v>
      </c>
      <c r="I40" s="40" t="n">
        <f aca="false">I39*Supuestos!$D$16*I27</f>
        <v>5.0429973793</v>
      </c>
      <c r="J40" s="40" t="n">
        <f aca="false">J39*Supuestos!$D$16*J27</f>
        <v>4.5519900501992</v>
      </c>
      <c r="K40" s="40" t="n">
        <f aca="false">K39*Supuestos!$D$16*K27</f>
        <v>5.66251959002091</v>
      </c>
      <c r="L40" s="40" t="n">
        <f aca="false">L39*Supuestos!$D$16*L27</f>
        <v>6.85127024302161</v>
      </c>
      <c r="M40" s="40" t="n">
        <f aca="false">M39*Supuestos!$D$16*M27</f>
        <v>7.7402653923106</v>
      </c>
      <c r="N40" s="16" t="n">
        <f aca="false">SUM(B40:M40)</f>
        <v>42.9969443163523</v>
      </c>
    </row>
    <row r="41" customFormat="false" ht="15" hidden="false" customHeight="false" outlineLevel="0" collapsed="false">
      <c r="A41" s="5" t="s">
        <v>186</v>
      </c>
      <c r="B41" s="38" t="n">
        <f aca="false">B40*Supuestos!$D$17</f>
        <v>0</v>
      </c>
      <c r="C41" s="38" t="n">
        <f aca="false">C40*Supuestos!$D$17</f>
        <v>0</v>
      </c>
      <c r="D41" s="38" t="n">
        <f aca="false">D40*Supuestos!$D$17</f>
        <v>1680</v>
      </c>
      <c r="E41" s="38" t="n">
        <f aca="false">E40*Supuestos!$D$17</f>
        <v>4400.4</v>
      </c>
      <c r="F41" s="38" t="n">
        <f aca="false">F40*Supuestos!$D$17</f>
        <v>5701.596</v>
      </c>
      <c r="G41" s="38" t="n">
        <f aca="false">G40*Supuestos!$D$17</f>
        <v>7774.39512</v>
      </c>
      <c r="H41" s="38" t="n">
        <f aca="false">H40*Supuestos!$D$17</f>
        <v>11998.5728676</v>
      </c>
      <c r="I41" s="38" t="n">
        <f aca="false">I40*Supuestos!$D$17</f>
        <v>12103.19371032</v>
      </c>
      <c r="J41" s="38" t="n">
        <f aca="false">J40*Supuestos!$D$17</f>
        <v>10924.7761204781</v>
      </c>
      <c r="K41" s="38" t="n">
        <f aca="false">K40*Supuestos!$D$17</f>
        <v>13590.0470160502</v>
      </c>
      <c r="L41" s="38" t="n">
        <f aca="false">L40*Supuestos!$D$17</f>
        <v>16443.0485832519</v>
      </c>
      <c r="M41" s="38" t="n">
        <f aca="false">M40*Supuestos!$D$17</f>
        <v>18576.6369415455</v>
      </c>
      <c r="N41" s="10" t="n">
        <f aca="false">SUM(B41:M41)</f>
        <v>103192.666359246</v>
      </c>
    </row>
    <row r="42" customFormat="false" ht="15" hidden="false" customHeight="false" outlineLevel="0" collapsed="false">
      <c r="A42" s="12" t="s">
        <v>187</v>
      </c>
      <c r="B42" s="13" t="n">
        <f aca="false">B37+B41</f>
        <v>19715.5504894612</v>
      </c>
      <c r="C42" s="13" t="n">
        <f aca="false">C37+C41</f>
        <v>28091.4525</v>
      </c>
      <c r="D42" s="13" t="n">
        <f aca="false">D37+D41</f>
        <v>14260.2194791582</v>
      </c>
      <c r="E42" s="13" t="n">
        <f aca="false">E37+E41</f>
        <v>21652.76791323</v>
      </c>
      <c r="F42" s="13" t="n">
        <f aca="false">F37+F41</f>
        <v>21494.8771300527</v>
      </c>
      <c r="G42" s="13" t="n">
        <f aca="false">G37+G41</f>
        <v>24885.9803783857</v>
      </c>
      <c r="H42" s="13" t="n">
        <f aca="false">H37+H41</f>
        <v>34147.788045411</v>
      </c>
      <c r="I42" s="13" t="n">
        <f aca="false">I37+I41</f>
        <v>32020.4678025137</v>
      </c>
      <c r="J42" s="13" t="n">
        <f aca="false">J37+J41</f>
        <v>27411.9689988149</v>
      </c>
      <c r="K42" s="13" t="n">
        <f aca="false">K37+K41</f>
        <v>32379.1253743706</v>
      </c>
      <c r="L42" s="13" t="n">
        <f aca="false">L37+L41</f>
        <v>37821.2367725048</v>
      </c>
      <c r="M42" s="13" t="n">
        <f aca="false">M37+M41</f>
        <v>41357.9223160927</v>
      </c>
      <c r="N42" s="13" t="n">
        <f aca="false">SUM(B42:M42)</f>
        <v>335239.357199995</v>
      </c>
    </row>
    <row r="44" customFormat="false" ht="15" hidden="false" customHeight="false" outlineLevel="0" collapsed="false">
      <c r="A44" s="35" t="s">
        <v>189</v>
      </c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</row>
    <row r="45" customFormat="false" ht="21.75" hidden="false" customHeight="true" outlineLevel="0" collapsed="false">
      <c r="A45" s="3" t="s">
        <v>169</v>
      </c>
      <c r="B45" s="4" t="s">
        <v>114</v>
      </c>
      <c r="C45" s="4" t="s">
        <v>116</v>
      </c>
      <c r="D45" s="4" t="s">
        <v>118</v>
      </c>
      <c r="E45" s="4" t="s">
        <v>120</v>
      </c>
      <c r="F45" s="4" t="s">
        <v>122</v>
      </c>
      <c r="G45" s="4" t="s">
        <v>123</v>
      </c>
      <c r="H45" s="4" t="s">
        <v>124</v>
      </c>
      <c r="I45" s="4" t="s">
        <v>126</v>
      </c>
      <c r="J45" s="4" t="s">
        <v>128</v>
      </c>
      <c r="K45" s="4" t="s">
        <v>130</v>
      </c>
      <c r="L45" s="4" t="s">
        <v>132</v>
      </c>
      <c r="M45" s="4" t="s">
        <v>134</v>
      </c>
      <c r="N45" s="4" t="s">
        <v>170</v>
      </c>
    </row>
    <row r="46" customFormat="false" ht="15" hidden="false" customHeight="false" outlineLevel="0" collapsed="false">
      <c r="A46" s="5" t="s">
        <v>171</v>
      </c>
      <c r="B46" s="36" t="n">
        <v>1</v>
      </c>
      <c r="C46" s="36" t="n">
        <v>2</v>
      </c>
      <c r="D46" s="36" t="n">
        <v>3</v>
      </c>
      <c r="E46" s="36" t="n">
        <v>4</v>
      </c>
      <c r="F46" s="36" t="n">
        <v>5</v>
      </c>
      <c r="G46" s="36" t="n">
        <v>6</v>
      </c>
      <c r="H46" s="36" t="n">
        <v>7</v>
      </c>
      <c r="I46" s="36" t="n">
        <v>8</v>
      </c>
      <c r="J46" s="36" t="n">
        <v>9</v>
      </c>
      <c r="K46" s="36" t="n">
        <v>10</v>
      </c>
      <c r="L46" s="36" t="n">
        <v>11</v>
      </c>
      <c r="M46" s="36" t="n">
        <v>12</v>
      </c>
    </row>
    <row r="47" customFormat="false" ht="15" hidden="false" customHeight="false" outlineLevel="0" collapsed="false">
      <c r="A47" s="5" t="s">
        <v>172</v>
      </c>
      <c r="B47" s="37" t="n">
        <f aca="false">Supuestos!$C$38</f>
        <v>1.2</v>
      </c>
      <c r="C47" s="37" t="n">
        <f aca="false">Supuestos!$C$39</f>
        <v>1.7</v>
      </c>
      <c r="D47" s="37" t="n">
        <f aca="false">Supuestos!$C$40</f>
        <v>0.7</v>
      </c>
      <c r="E47" s="37" t="n">
        <f aca="false">Supuestos!$C$41</f>
        <v>0.95</v>
      </c>
      <c r="F47" s="37" t="n">
        <f aca="false">Supuestos!$C$42</f>
        <v>0.85</v>
      </c>
      <c r="G47" s="37" t="n">
        <f aca="false">Supuestos!$C$43</f>
        <v>0.9</v>
      </c>
      <c r="H47" s="37" t="n">
        <f aca="false">Supuestos!$C$44</f>
        <v>1.15</v>
      </c>
      <c r="I47" s="37" t="n">
        <f aca="false">Supuestos!$C$45</f>
        <v>1</v>
      </c>
      <c r="J47" s="37" t="n">
        <f aca="false">Supuestos!$C$46</f>
        <v>0.8</v>
      </c>
      <c r="K47" s="37" t="n">
        <f aca="false">Supuestos!$C$47</f>
        <v>0.9</v>
      </c>
      <c r="L47" s="37" t="n">
        <f aca="false">Supuestos!$C$48</f>
        <v>1</v>
      </c>
      <c r="M47" s="37" t="n">
        <f aca="false">Supuestos!$C$49</f>
        <v>1.05</v>
      </c>
    </row>
    <row r="48" customFormat="false" ht="15" hidden="false" customHeight="false" outlineLevel="0" collapsed="false">
      <c r="A48" s="5" t="s">
        <v>173</v>
      </c>
      <c r="B48" s="37" t="n">
        <f aca="false">Supuestos!$D$38</f>
        <v>1.15</v>
      </c>
      <c r="C48" s="37" t="n">
        <f aca="false">Supuestos!$D$39</f>
        <v>1.25</v>
      </c>
      <c r="D48" s="37" t="n">
        <f aca="false">Supuestos!$D$40</f>
        <v>0.95</v>
      </c>
      <c r="E48" s="37" t="n">
        <f aca="false">Supuestos!$D$41</f>
        <v>1</v>
      </c>
      <c r="F48" s="37" t="n">
        <f aca="false">Supuestos!$D$42</f>
        <v>1</v>
      </c>
      <c r="G48" s="37" t="n">
        <f aca="false">Supuestos!$D$43</f>
        <v>1</v>
      </c>
      <c r="H48" s="37" t="n">
        <f aca="false">Supuestos!$D$44</f>
        <v>1.05</v>
      </c>
      <c r="I48" s="37" t="n">
        <f aca="false">Supuestos!$D$45</f>
        <v>1</v>
      </c>
      <c r="J48" s="37" t="n">
        <f aca="false">Supuestos!$D$46</f>
        <v>0.95</v>
      </c>
      <c r="K48" s="37" t="n">
        <f aca="false">Supuestos!$D$47</f>
        <v>1</v>
      </c>
      <c r="L48" s="37" t="n">
        <f aca="false">Supuestos!$D$48</f>
        <v>1</v>
      </c>
      <c r="M48" s="37" t="n">
        <f aca="false">Supuestos!$D$49</f>
        <v>1.05</v>
      </c>
    </row>
    <row r="49" customFormat="false" ht="15" hidden="false" customHeight="false" outlineLevel="0" collapsed="false">
      <c r="A49" s="5" t="s">
        <v>174</v>
      </c>
      <c r="B49" s="38" t="n">
        <f aca="false">Supuestos!$E$7</f>
        <v>9000</v>
      </c>
      <c r="C49" s="38" t="n">
        <f aca="false">Supuestos!$E$7</f>
        <v>9000</v>
      </c>
      <c r="D49" s="38" t="n">
        <f aca="false">Supuestos!$E$7</f>
        <v>9000</v>
      </c>
      <c r="E49" s="38" t="n">
        <f aca="false">Supuestos!$E$7</f>
        <v>9000</v>
      </c>
      <c r="F49" s="38" t="n">
        <f aca="false">Supuestos!$E$7</f>
        <v>9000</v>
      </c>
      <c r="G49" s="38" t="n">
        <f aca="false">Supuestos!$E$7</f>
        <v>9000</v>
      </c>
      <c r="H49" s="38" t="n">
        <f aca="false">Supuestos!$E$7</f>
        <v>9000</v>
      </c>
      <c r="I49" s="38" t="n">
        <f aca="false">Supuestos!$E$7</f>
        <v>9000</v>
      </c>
      <c r="J49" s="38" t="n">
        <f aca="false">Supuestos!$E$7</f>
        <v>9000</v>
      </c>
      <c r="K49" s="38" t="n">
        <f aca="false">Supuestos!$E$7</f>
        <v>9000</v>
      </c>
      <c r="L49" s="38" t="n">
        <f aca="false">Supuestos!$E$7</f>
        <v>9000</v>
      </c>
      <c r="M49" s="38" t="n">
        <f aca="false">Supuestos!$E$7</f>
        <v>9000</v>
      </c>
      <c r="N49" s="10" t="n">
        <f aca="false">SUM(B49:M49)</f>
        <v>108000</v>
      </c>
    </row>
    <row r="50" customFormat="false" ht="15" hidden="false" customHeight="false" outlineLevel="0" collapsed="false">
      <c r="A50" s="5" t="s">
        <v>175</v>
      </c>
      <c r="B50" s="36" t="n">
        <f aca="false">B49/(Supuestos!$E$8*B48)*1000</f>
        <v>111801.242236025</v>
      </c>
      <c r="C50" s="36" t="n">
        <f aca="false">C49/(Supuestos!$E$8*C48)*1000</f>
        <v>102857.142857143</v>
      </c>
      <c r="D50" s="36" t="n">
        <f aca="false">D49/(Supuestos!$E$8*D48)*1000</f>
        <v>135338.345864662</v>
      </c>
      <c r="E50" s="36" t="n">
        <f aca="false">E49/(Supuestos!$E$8*E48)*1000</f>
        <v>128571.428571429</v>
      </c>
      <c r="F50" s="36" t="n">
        <f aca="false">F49/(Supuestos!$E$8*F48)*1000</f>
        <v>128571.428571429</v>
      </c>
      <c r="G50" s="36" t="n">
        <f aca="false">G49/(Supuestos!$E$8*G48)*1000</f>
        <v>128571.428571429</v>
      </c>
      <c r="H50" s="36" t="n">
        <f aca="false">H49/(Supuestos!$E$8*H48)*1000</f>
        <v>122448.979591837</v>
      </c>
      <c r="I50" s="36" t="n">
        <f aca="false">I49/(Supuestos!$E$8*I48)*1000</f>
        <v>128571.428571429</v>
      </c>
      <c r="J50" s="36" t="n">
        <f aca="false">J49/(Supuestos!$E$8*J48)*1000</f>
        <v>135338.345864662</v>
      </c>
      <c r="K50" s="36" t="n">
        <f aca="false">K49/(Supuestos!$E$8*K48)*1000</f>
        <v>128571.428571429</v>
      </c>
      <c r="L50" s="36" t="n">
        <f aca="false">L49/(Supuestos!$E$8*L48)*1000</f>
        <v>128571.428571429</v>
      </c>
      <c r="M50" s="36" t="n">
        <f aca="false">M49/(Supuestos!$E$8*M48)*1000</f>
        <v>122448.979591837</v>
      </c>
      <c r="N50" s="18" t="n">
        <f aca="false">SUM(B50:M50)</f>
        <v>1501661.60743474</v>
      </c>
    </row>
    <row r="51" customFormat="false" ht="15" hidden="false" customHeight="false" outlineLevel="0" collapsed="false">
      <c r="A51" s="5" t="s">
        <v>176</v>
      </c>
      <c r="B51" s="36" t="n">
        <f aca="false">B50*Supuestos!$E$9</f>
        <v>1788.8198757764</v>
      </c>
      <c r="C51" s="36" t="n">
        <f aca="false">C50*Supuestos!$E$9</f>
        <v>1645.71428571429</v>
      </c>
      <c r="D51" s="36" t="n">
        <f aca="false">D50*Supuestos!$E$9</f>
        <v>2165.41353383459</v>
      </c>
      <c r="E51" s="36" t="n">
        <f aca="false">E50*Supuestos!$E$9</f>
        <v>2057.14285714286</v>
      </c>
      <c r="F51" s="36" t="n">
        <f aca="false">F50*Supuestos!$E$9</f>
        <v>2057.14285714286</v>
      </c>
      <c r="G51" s="36" t="n">
        <f aca="false">G50*Supuestos!$E$9</f>
        <v>2057.14285714286</v>
      </c>
      <c r="H51" s="36" t="n">
        <f aca="false">H50*Supuestos!$E$9</f>
        <v>1959.18367346939</v>
      </c>
      <c r="I51" s="36" t="n">
        <f aca="false">I50*Supuestos!$E$9</f>
        <v>2057.14285714286</v>
      </c>
      <c r="J51" s="36" t="n">
        <f aca="false">J50*Supuestos!$E$9</f>
        <v>2165.41353383459</v>
      </c>
      <c r="K51" s="36" t="n">
        <f aca="false">K50*Supuestos!$E$9</f>
        <v>2057.14285714286</v>
      </c>
      <c r="L51" s="36" t="n">
        <f aca="false">L50*Supuestos!$E$9</f>
        <v>2057.14285714286</v>
      </c>
      <c r="M51" s="36" t="n">
        <f aca="false">M50*Supuestos!$E$9</f>
        <v>1959.18367346939</v>
      </c>
      <c r="N51" s="18" t="n">
        <f aca="false">SUM(B51:M51)</f>
        <v>24026.5857189558</v>
      </c>
    </row>
    <row r="52" customFormat="false" ht="15" hidden="false" customHeight="false" outlineLevel="0" collapsed="false">
      <c r="A52" s="5" t="s">
        <v>177</v>
      </c>
      <c r="B52" s="39" t="n">
        <f aca="false">Supuestos!$E$10*B47</f>
        <v>0.0264</v>
      </c>
      <c r="C52" s="39" t="n">
        <f aca="false">Supuestos!$E$10*C47</f>
        <v>0.0374</v>
      </c>
      <c r="D52" s="39" t="n">
        <f aca="false">Supuestos!$E$10*D47</f>
        <v>0.0154</v>
      </c>
      <c r="E52" s="39" t="n">
        <f aca="false">Supuestos!$E$10*E47</f>
        <v>0.0209</v>
      </c>
      <c r="F52" s="39" t="n">
        <f aca="false">Supuestos!$E$10*F47</f>
        <v>0.0187</v>
      </c>
      <c r="G52" s="39" t="n">
        <f aca="false">Supuestos!$E$10*G47</f>
        <v>0.0198</v>
      </c>
      <c r="H52" s="39" t="n">
        <f aca="false">Supuestos!$E$10*H47</f>
        <v>0.0253</v>
      </c>
      <c r="I52" s="39" t="n">
        <f aca="false">Supuestos!$E$10*I47</f>
        <v>0.022</v>
      </c>
      <c r="J52" s="39" t="n">
        <f aca="false">Supuestos!$E$10*J47</f>
        <v>0.0176</v>
      </c>
      <c r="K52" s="39" t="n">
        <f aca="false">Supuestos!$E$10*K47</f>
        <v>0.0198</v>
      </c>
      <c r="L52" s="39" t="n">
        <f aca="false">Supuestos!$E$10*L47</f>
        <v>0.022</v>
      </c>
      <c r="M52" s="39" t="n">
        <f aca="false">Supuestos!$E$10*M47</f>
        <v>0.0231</v>
      </c>
    </row>
    <row r="53" customFormat="false" ht="15" hidden="false" customHeight="false" outlineLevel="0" collapsed="false">
      <c r="A53" s="5" t="s">
        <v>178</v>
      </c>
      <c r="B53" s="40" t="n">
        <f aca="false">B51*B52</f>
        <v>47.2248447204969</v>
      </c>
      <c r="C53" s="40" t="n">
        <f aca="false">C51*C52</f>
        <v>61.5497142857143</v>
      </c>
      <c r="D53" s="40" t="n">
        <f aca="false">D51*D52</f>
        <v>33.3473684210526</v>
      </c>
      <c r="E53" s="40" t="n">
        <f aca="false">E51*E52</f>
        <v>42.9942857142857</v>
      </c>
      <c r="F53" s="40" t="n">
        <f aca="false">F51*F52</f>
        <v>38.4685714285714</v>
      </c>
      <c r="G53" s="40" t="n">
        <f aca="false">G51*G52</f>
        <v>40.7314285714286</v>
      </c>
      <c r="H53" s="40" t="n">
        <f aca="false">H51*H52</f>
        <v>49.5673469387755</v>
      </c>
      <c r="I53" s="40" t="n">
        <f aca="false">I51*I52</f>
        <v>45.2571428571429</v>
      </c>
      <c r="J53" s="40" t="n">
        <f aca="false">J51*J52</f>
        <v>38.1112781954887</v>
      </c>
      <c r="K53" s="40" t="n">
        <f aca="false">K51*K52</f>
        <v>40.7314285714286</v>
      </c>
      <c r="L53" s="40" t="n">
        <f aca="false">L51*L52</f>
        <v>45.2571428571429</v>
      </c>
      <c r="M53" s="40" t="n">
        <f aca="false">M51*M52</f>
        <v>45.2571428571429</v>
      </c>
      <c r="N53" s="16" t="n">
        <f aca="false">SUM(B53:M53)</f>
        <v>528.497695418671</v>
      </c>
    </row>
    <row r="54" customFormat="false" ht="15" hidden="false" customHeight="false" outlineLevel="0" collapsed="false">
      <c r="A54" s="5" t="s">
        <v>179</v>
      </c>
      <c r="B54" s="40" t="n">
        <f aca="false">Supuestos!$E$5*4.345*(1+Supuestos!$E$6)^(B46-1)*B47</f>
        <v>72.996</v>
      </c>
      <c r="C54" s="40" t="n">
        <f aca="false">Supuestos!$E$5*4.345*(1+Supuestos!$E$6)^(C46-1)*C47</f>
        <v>108.58155</v>
      </c>
      <c r="D54" s="40" t="n">
        <f aca="false">Supuestos!$E$5*4.345*(1+Supuestos!$E$6)^(D46-1)*D47</f>
        <v>46.9455525</v>
      </c>
      <c r="E54" s="40" t="n">
        <f aca="false">Supuestos!$E$5*4.345*(1+Supuestos!$E$6)^(E46-1)*E47</f>
        <v>66.8974123125</v>
      </c>
      <c r="F54" s="40" t="n">
        <f aca="false">Supuestos!$E$5*4.345*(1+Supuestos!$E$6)^(F46-1)*F47</f>
        <v>62.848358409375</v>
      </c>
      <c r="G54" s="40" t="n">
        <f aca="false">Supuestos!$E$5*4.345*(1+Supuestos!$E$6)^(G46-1)*G47</f>
        <v>69.8725867021875</v>
      </c>
      <c r="H54" s="40" t="n">
        <f aca="false">Supuestos!$E$5*4.345*(1+Supuestos!$E$6)^(H46-1)*H47</f>
        <v>93.7457204921016</v>
      </c>
      <c r="I54" s="40" t="n">
        <f aca="false">Supuestos!$E$5*4.345*(1+Supuestos!$E$6)^(I46-1)*I47</f>
        <v>85.5939187101797</v>
      </c>
      <c r="J54" s="40" t="n">
        <f aca="false">Supuestos!$E$5*4.345*(1+Supuestos!$E$6)^(J46-1)*J47</f>
        <v>71.898891716551</v>
      </c>
      <c r="K54" s="40" t="n">
        <f aca="false">Supuestos!$E$5*4.345*(1+Supuestos!$E$6)^(K46-1)*K47</f>
        <v>84.9305658401758</v>
      </c>
      <c r="L54" s="40" t="n">
        <f aca="false">Supuestos!$E$5*4.345*(1+Supuestos!$E$6)^(L46-1)*L47</f>
        <v>99.0856601468718</v>
      </c>
      <c r="M54" s="40" t="n">
        <f aca="false">Supuestos!$E$5*4.345*(1+Supuestos!$E$6)^(M46-1)*M47</f>
        <v>109.241940311926</v>
      </c>
      <c r="N54" s="16" t="n">
        <f aca="false">SUM(B54:M54)</f>
        <v>972.638157141869</v>
      </c>
    </row>
    <row r="55" customFormat="false" ht="15" hidden="false" customHeight="false" outlineLevel="0" collapsed="false">
      <c r="A55" s="5" t="s">
        <v>180</v>
      </c>
      <c r="B55" s="40" t="n">
        <f aca="false">B53+B54</f>
        <v>120.220844720497</v>
      </c>
      <c r="C55" s="40" t="n">
        <f aca="false">C53+C54</f>
        <v>170.131264285714</v>
      </c>
      <c r="D55" s="40" t="n">
        <f aca="false">D53+D54</f>
        <v>80.2929209210526</v>
      </c>
      <c r="E55" s="40" t="n">
        <f aca="false">E53+E54</f>
        <v>109.891698026786</v>
      </c>
      <c r="F55" s="40" t="n">
        <f aca="false">F53+F54</f>
        <v>101.316929837946</v>
      </c>
      <c r="G55" s="40" t="n">
        <f aca="false">G53+G54</f>
        <v>110.604015273616</v>
      </c>
      <c r="H55" s="40" t="n">
        <f aca="false">H53+H54</f>
        <v>143.313067430877</v>
      </c>
      <c r="I55" s="40" t="n">
        <f aca="false">I53+I54</f>
        <v>130.851061567323</v>
      </c>
      <c r="J55" s="40" t="n">
        <f aca="false">J53+J54</f>
        <v>110.01016991204</v>
      </c>
      <c r="K55" s="40" t="n">
        <f aca="false">K53+K54</f>
        <v>125.661994411604</v>
      </c>
      <c r="L55" s="40" t="n">
        <f aca="false">L53+L54</f>
        <v>144.342803004015</v>
      </c>
      <c r="M55" s="40" t="n">
        <f aca="false">M53+M54</f>
        <v>154.499083169069</v>
      </c>
      <c r="N55" s="16" t="n">
        <f aca="false">SUM(B55:M55)</f>
        <v>1501.13585256054</v>
      </c>
    </row>
    <row r="56" customFormat="false" ht="15" hidden="false" customHeight="false" outlineLevel="0" collapsed="false">
      <c r="A56" s="5" t="s">
        <v>181</v>
      </c>
      <c r="B56" s="38" t="n">
        <f aca="false">B55*Supuestos!$E$11</f>
        <v>54099.3801242236</v>
      </c>
      <c r="C56" s="38" t="n">
        <f aca="false">C55*Supuestos!$E$11</f>
        <v>76559.0689285714</v>
      </c>
      <c r="D56" s="38" t="n">
        <f aca="false">D55*Supuestos!$E$11</f>
        <v>36131.8144144737</v>
      </c>
      <c r="E56" s="38" t="n">
        <f aca="false">E55*Supuestos!$E$11</f>
        <v>49451.2641120536</v>
      </c>
      <c r="F56" s="38" t="n">
        <f aca="false">F55*Supuestos!$E$11</f>
        <v>45592.6184270759</v>
      </c>
      <c r="G56" s="38" t="n">
        <f aca="false">G55*Supuestos!$E$11</f>
        <v>49771.8068731272</v>
      </c>
      <c r="H56" s="38" t="n">
        <f aca="false">H55*Supuestos!$E$11</f>
        <v>64490.8803438947</v>
      </c>
      <c r="I56" s="38" t="n">
        <f aca="false">I55*Supuestos!$E$11</f>
        <v>58882.9777052952</v>
      </c>
      <c r="J56" s="38" t="n">
        <f aca="false">J55*Supuestos!$E$11</f>
        <v>49504.5764604179</v>
      </c>
      <c r="K56" s="38" t="n">
        <f aca="false">K55*Supuestos!$E$11</f>
        <v>56547.897485222</v>
      </c>
      <c r="L56" s="38" t="n">
        <f aca="false">L55*Supuestos!$E$11</f>
        <v>64954.2613518066</v>
      </c>
      <c r="M56" s="38" t="n">
        <f aca="false">M55*Supuestos!$E$11</f>
        <v>69524.5874260811</v>
      </c>
      <c r="N56" s="10" t="n">
        <f aca="false">SUM(B56:M56)</f>
        <v>675511.133652243</v>
      </c>
    </row>
    <row r="57" customFormat="false" ht="15" hidden="false" customHeight="false" outlineLevel="0" collapsed="false">
      <c r="A57" s="5" t="s">
        <v>182</v>
      </c>
      <c r="B57" s="38" t="n">
        <f aca="false">B56/(1+Supuestos!$C$23*Supuestos!$C$24)</f>
        <v>46637.3966588135</v>
      </c>
      <c r="C57" s="38" t="n">
        <f aca="false">C56/(1+Supuestos!$C$23*Supuestos!$C$24)</f>
        <v>65999.1973522168</v>
      </c>
      <c r="D57" s="38" t="n">
        <f aca="false">D56/(1+Supuestos!$C$23*Supuestos!$C$24)</f>
        <v>31148.1158745463</v>
      </c>
      <c r="E57" s="38" t="n">
        <f aca="false">E56/(1+Supuestos!$C$23*Supuestos!$C$24)</f>
        <v>42630.4000965979</v>
      </c>
      <c r="F57" s="38" t="n">
        <f aca="false">F56/(1+Supuestos!$C$23*Supuestos!$C$24)</f>
        <v>39303.9814026516</v>
      </c>
      <c r="G57" s="38" t="n">
        <f aca="false">G56/(1+Supuestos!$C$23*Supuestos!$C$24)</f>
        <v>42906.7300630407</v>
      </c>
      <c r="H57" s="38" t="n">
        <f aca="false">H56/(1+Supuestos!$C$23*Supuestos!$C$24)</f>
        <v>55595.5865033575</v>
      </c>
      <c r="I57" s="38" t="n">
        <f aca="false">I56/(1+Supuestos!$C$23*Supuestos!$C$24)</f>
        <v>50761.1876769786</v>
      </c>
      <c r="J57" s="38" t="n">
        <f aca="false">J56/(1+Supuestos!$C$23*Supuestos!$C$24)</f>
        <v>42676.3590176016</v>
      </c>
      <c r="K57" s="38" t="n">
        <f aca="false">K56/(1+Supuestos!$C$23*Supuestos!$C$24)</f>
        <v>48748.1874872603</v>
      </c>
      <c r="L57" s="38" t="n">
        <f aca="false">L56/(1+Supuestos!$C$23*Supuestos!$C$24)</f>
        <v>55995.0528894885</v>
      </c>
      <c r="M57" s="38" t="n">
        <f aca="false">M56/(1+Supuestos!$C$23*Supuestos!$C$24)</f>
        <v>59934.9891604147</v>
      </c>
      <c r="N57" s="10" t="n">
        <f aca="false">SUM(B57:M57)</f>
        <v>582337.184182968</v>
      </c>
    </row>
    <row r="58" customFormat="false" ht="15" hidden="false" customHeight="false" outlineLevel="0" collapsed="false">
      <c r="A58" s="5" t="s">
        <v>183</v>
      </c>
      <c r="B58" s="40" t="n">
        <f aca="false">IF(B46&gt;=Supuestos!$C$21,Supuestos!$E$14,0)</f>
        <v>0</v>
      </c>
      <c r="C58" s="40" t="n">
        <f aca="false">IF(C46&gt;=Supuestos!$C$21,Supuestos!$E$14,0)</f>
        <v>0</v>
      </c>
      <c r="D58" s="40" t="n">
        <f aca="false">IF(D46&gt;=Supuestos!$C$21,Supuestos!$E$14,0)</f>
        <v>4</v>
      </c>
      <c r="E58" s="40" t="n">
        <f aca="false">IF(E46&gt;=Supuestos!$C$21,Supuestos!$E$14,0)</f>
        <v>4</v>
      </c>
      <c r="F58" s="40" t="n">
        <f aca="false">IF(F46&gt;=Supuestos!$C$21,Supuestos!$E$14,0)</f>
        <v>4</v>
      </c>
      <c r="G58" s="40" t="n">
        <f aca="false">IF(G46&gt;=Supuestos!$C$21,Supuestos!$E$14,0)</f>
        <v>4</v>
      </c>
      <c r="H58" s="40" t="n">
        <f aca="false">IF(H46&gt;=Supuestos!$C$21,Supuestos!$E$14,0)</f>
        <v>4</v>
      </c>
      <c r="I58" s="40" t="n">
        <f aca="false">IF(I46&gt;=Supuestos!$C$21,Supuestos!$E$14,0)</f>
        <v>4</v>
      </c>
      <c r="J58" s="40" t="n">
        <f aca="false">IF(J46&gt;=Supuestos!$C$21,Supuestos!$E$14,0)</f>
        <v>4</v>
      </c>
      <c r="K58" s="40" t="n">
        <f aca="false">IF(K46&gt;=Supuestos!$C$21,Supuestos!$E$14,0)</f>
        <v>4</v>
      </c>
      <c r="L58" s="40" t="n">
        <f aca="false">IF(L46&gt;=Supuestos!$C$21,Supuestos!$E$14,0)</f>
        <v>4</v>
      </c>
      <c r="M58" s="40" t="n">
        <f aca="false">IF(M46&gt;=Supuestos!$C$21,Supuestos!$E$14,0)</f>
        <v>4</v>
      </c>
      <c r="N58" s="16" t="n">
        <f aca="false">SUM(B58:M58)</f>
        <v>40</v>
      </c>
    </row>
    <row r="59" customFormat="false" ht="15" hidden="false" customHeight="false" outlineLevel="0" collapsed="false">
      <c r="A59" s="5" t="s">
        <v>184</v>
      </c>
      <c r="B59" s="40" t="n">
        <f aca="false">B58</f>
        <v>0</v>
      </c>
      <c r="C59" s="40" t="n">
        <f aca="false">B59*Supuestos!$E$15+C58</f>
        <v>0</v>
      </c>
      <c r="D59" s="40" t="n">
        <f aca="false">C59*Supuestos!$E$15+D58</f>
        <v>4</v>
      </c>
      <c r="E59" s="40" t="n">
        <f aca="false">D59*Supuestos!$E$15+E58</f>
        <v>7.8</v>
      </c>
      <c r="F59" s="40" t="n">
        <f aca="false">E59*Supuestos!$E$15+F58</f>
        <v>11.41</v>
      </c>
      <c r="G59" s="40" t="n">
        <f aca="false">F59*Supuestos!$E$15+G58</f>
        <v>14.8395</v>
      </c>
      <c r="H59" s="40" t="n">
        <f aca="false">G59*Supuestos!$E$15+H58</f>
        <v>18.097525</v>
      </c>
      <c r="I59" s="40" t="n">
        <f aca="false">H59*Supuestos!$E$15+I58</f>
        <v>21.19264875</v>
      </c>
      <c r="J59" s="40" t="n">
        <f aca="false">I59*Supuestos!$E$15+J58</f>
        <v>24.1330163125</v>
      </c>
      <c r="K59" s="40" t="n">
        <f aca="false">J59*Supuestos!$E$15+K58</f>
        <v>26.926365496875</v>
      </c>
      <c r="L59" s="40" t="n">
        <f aca="false">K59*Supuestos!$E$15+L58</f>
        <v>29.5800472220312</v>
      </c>
      <c r="M59" s="40" t="n">
        <f aca="false">L59*Supuestos!$E$15+M58</f>
        <v>32.1010448609297</v>
      </c>
      <c r="N59" s="16" t="n">
        <f aca="false">M59</f>
        <v>32.1010448609297</v>
      </c>
    </row>
    <row r="60" customFormat="false" ht="15" hidden="false" customHeight="false" outlineLevel="0" collapsed="false">
      <c r="A60" s="5" t="s">
        <v>185</v>
      </c>
      <c r="B60" s="40" t="n">
        <f aca="false">B59*Supuestos!$E$16*B47</f>
        <v>0</v>
      </c>
      <c r="C60" s="40" t="n">
        <f aca="false">C59*Supuestos!$E$16*C47</f>
        <v>0</v>
      </c>
      <c r="D60" s="40" t="n">
        <f aca="false">D59*Supuestos!$E$16*D47</f>
        <v>1.68</v>
      </c>
      <c r="E60" s="40" t="n">
        <f aca="false">E59*Supuestos!$E$16*E47</f>
        <v>4.446</v>
      </c>
      <c r="F60" s="40" t="n">
        <f aca="false">F59*Supuestos!$E$16*F47</f>
        <v>5.8191</v>
      </c>
      <c r="G60" s="40" t="n">
        <f aca="false">G59*Supuestos!$E$16*G47</f>
        <v>8.01333</v>
      </c>
      <c r="H60" s="40" t="n">
        <f aca="false">H59*Supuestos!$E$16*H47</f>
        <v>12.48729225</v>
      </c>
      <c r="I60" s="40" t="n">
        <f aca="false">I59*Supuestos!$E$16*I47</f>
        <v>12.71558925</v>
      </c>
      <c r="J60" s="40" t="n">
        <f aca="false">J59*Supuestos!$E$16*J47</f>
        <v>11.58384783</v>
      </c>
      <c r="K60" s="40" t="n">
        <f aca="false">K59*Supuestos!$E$16*K47</f>
        <v>14.5402373683125</v>
      </c>
      <c r="L60" s="40" t="n">
        <f aca="false">L59*Supuestos!$E$16*L47</f>
        <v>17.7480283332188</v>
      </c>
      <c r="M60" s="40" t="n">
        <f aca="false">M59*Supuestos!$E$16*M47</f>
        <v>20.2236582623857</v>
      </c>
      <c r="N60" s="16" t="n">
        <f aca="false">SUM(B60:M60)</f>
        <v>109.257083293917</v>
      </c>
    </row>
    <row r="61" customFormat="false" ht="15" hidden="false" customHeight="false" outlineLevel="0" collapsed="false">
      <c r="A61" s="5" t="s">
        <v>186</v>
      </c>
      <c r="B61" s="38" t="n">
        <f aca="false">B60*Supuestos!$E$17</f>
        <v>0</v>
      </c>
      <c r="C61" s="38" t="n">
        <f aca="false">C60*Supuestos!$E$17</f>
        <v>0</v>
      </c>
      <c r="D61" s="38" t="n">
        <f aca="false">D60*Supuestos!$E$17</f>
        <v>5376</v>
      </c>
      <c r="E61" s="38" t="n">
        <f aca="false">E60*Supuestos!$E$17</f>
        <v>14227.2</v>
      </c>
      <c r="F61" s="38" t="n">
        <f aca="false">F60*Supuestos!$E$17</f>
        <v>18621.12</v>
      </c>
      <c r="G61" s="38" t="n">
        <f aca="false">G60*Supuestos!$E$17</f>
        <v>25642.656</v>
      </c>
      <c r="H61" s="38" t="n">
        <f aca="false">H60*Supuestos!$E$17</f>
        <v>39959.3352</v>
      </c>
      <c r="I61" s="38" t="n">
        <f aca="false">I60*Supuestos!$E$17</f>
        <v>40689.8856</v>
      </c>
      <c r="J61" s="38" t="n">
        <f aca="false">J60*Supuestos!$E$17</f>
        <v>37068.313056</v>
      </c>
      <c r="K61" s="38" t="n">
        <f aca="false">K60*Supuestos!$E$17</f>
        <v>46528.7595786</v>
      </c>
      <c r="L61" s="38" t="n">
        <f aca="false">L60*Supuestos!$E$17</f>
        <v>56793.6906663</v>
      </c>
      <c r="M61" s="38" t="n">
        <f aca="false">M60*Supuestos!$E$17</f>
        <v>64715.7064396342</v>
      </c>
      <c r="N61" s="10" t="n">
        <f aca="false">SUM(B61:M61)</f>
        <v>349622.666540534</v>
      </c>
    </row>
    <row r="62" customFormat="false" ht="15" hidden="false" customHeight="false" outlineLevel="0" collapsed="false">
      <c r="A62" s="12" t="s">
        <v>187</v>
      </c>
      <c r="B62" s="13" t="n">
        <f aca="false">B57+B61</f>
        <v>46637.3966588135</v>
      </c>
      <c r="C62" s="13" t="n">
        <f aca="false">C57+C61</f>
        <v>65999.1973522168</v>
      </c>
      <c r="D62" s="13" t="n">
        <f aca="false">D57+D61</f>
        <v>36524.1158745463</v>
      </c>
      <c r="E62" s="13" t="n">
        <f aca="false">E57+E61</f>
        <v>56857.6000965979</v>
      </c>
      <c r="F62" s="13" t="n">
        <f aca="false">F57+F61</f>
        <v>57925.1014026516</v>
      </c>
      <c r="G62" s="13" t="n">
        <f aca="false">G57+G61</f>
        <v>68549.3860630407</v>
      </c>
      <c r="H62" s="13" t="n">
        <f aca="false">H57+H61</f>
        <v>95554.9217033575</v>
      </c>
      <c r="I62" s="13" t="n">
        <f aca="false">I57+I61</f>
        <v>91451.0732769786</v>
      </c>
      <c r="J62" s="13" t="n">
        <f aca="false">J57+J61</f>
        <v>79744.6720736016</v>
      </c>
      <c r="K62" s="13" t="n">
        <f aca="false">K57+K61</f>
        <v>95276.9470658603</v>
      </c>
      <c r="L62" s="13" t="n">
        <f aca="false">L57+L61</f>
        <v>112788.743555788</v>
      </c>
      <c r="M62" s="13" t="n">
        <f aca="false">M57+M61</f>
        <v>124650.695600049</v>
      </c>
      <c r="N62" s="13" t="n">
        <f aca="false">SUM(B62:M62)</f>
        <v>931959.850723502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1"/>
    <col collapsed="false" customWidth="true" hidden="false" outlineLevel="0" max="5" min="5" style="0" width="10"/>
    <col collapsed="false" customWidth="true" hidden="false" outlineLevel="0" max="9" min="6" style="0" width="11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2"/>
    <col collapsed="false" customWidth="true" hidden="false" outlineLevel="0" max="16" min="15" style="0" width="10"/>
    <col collapsed="false" customWidth="true" hidden="false" outlineLevel="0" max="19" min="17" style="0" width="11"/>
    <col collapsed="false" customWidth="true" hidden="false" outlineLevel="0" max="20" min="20" style="0" width="15"/>
  </cols>
  <sheetData>
    <row r="1" customFormat="false" ht="19.7" hidden="false" customHeight="false" outlineLevel="0" collapsed="false">
      <c r="A1" s="1" t="s">
        <v>190</v>
      </c>
    </row>
    <row r="2" customFormat="false" ht="15" hidden="false" customHeight="false" outlineLevel="0" collapsed="false">
      <c r="A2" s="2" t="s">
        <v>191</v>
      </c>
    </row>
    <row r="4" customFormat="false" ht="43.5" hidden="false" customHeight="true" outlineLevel="0" collapsed="false">
      <c r="A4" s="3" t="s">
        <v>30</v>
      </c>
      <c r="B4" s="4" t="s">
        <v>192</v>
      </c>
      <c r="C4" s="4" t="s">
        <v>193</v>
      </c>
      <c r="D4" s="4" t="s">
        <v>194</v>
      </c>
      <c r="E4" s="4" t="s">
        <v>195</v>
      </c>
      <c r="F4" s="4" t="s">
        <v>196</v>
      </c>
      <c r="G4" s="4" t="s">
        <v>197</v>
      </c>
      <c r="H4" s="4" t="s">
        <v>198</v>
      </c>
      <c r="I4" s="4" t="s">
        <v>199</v>
      </c>
      <c r="J4" s="4" t="s">
        <v>200</v>
      </c>
      <c r="K4" s="4" t="s">
        <v>201</v>
      </c>
      <c r="L4" s="4" t="s">
        <v>202</v>
      </c>
      <c r="M4" s="4" t="s">
        <v>203</v>
      </c>
      <c r="N4" s="4" t="s">
        <v>204</v>
      </c>
      <c r="O4" s="4" t="s">
        <v>205</v>
      </c>
      <c r="P4" s="4" t="s">
        <v>206</v>
      </c>
      <c r="Q4" s="4" t="s">
        <v>207</v>
      </c>
      <c r="R4" s="4" t="s">
        <v>208</v>
      </c>
      <c r="S4" s="4" t="s">
        <v>209</v>
      </c>
      <c r="T4" s="4" t="s">
        <v>210</v>
      </c>
    </row>
    <row r="5" customFormat="false" ht="15" hidden="false" customHeight="false" outlineLevel="0" collapsed="false">
      <c r="A5" s="15" t="str">
        <f aca="false">Supuestos!A54</f>
        <v>Fichas de lotería sueltas</v>
      </c>
      <c r="B5" s="11" t="n">
        <f aca="false">Supuestos!B54</f>
        <v>5</v>
      </c>
      <c r="C5" s="41" t="n">
        <f aca="false">B5/(1+Supuestos!$C$23*Supuestos!$C$24)</f>
        <v>4.31034482758621</v>
      </c>
      <c r="D5" s="41" t="n">
        <f aca="false">B5*(1-Supuestos!$C$22)</f>
        <v>2.9</v>
      </c>
      <c r="E5" s="42" t="n">
        <v>3</v>
      </c>
      <c r="F5" s="43" t="n">
        <v>0</v>
      </c>
      <c r="G5" s="43" t="n">
        <v>0.42</v>
      </c>
      <c r="H5" s="43" t="n">
        <v>0.3</v>
      </c>
      <c r="I5" s="43" t="n">
        <v>0.1</v>
      </c>
      <c r="J5" s="44" t="n">
        <f aca="false">E5*Supuestos!$C$31/1000+F5+G5+H5+I5</f>
        <v>1.867</v>
      </c>
      <c r="K5" s="28" t="n">
        <v>1.35</v>
      </c>
      <c r="L5" s="44" t="n">
        <f aca="false">J5*K5*(1+Supuestos!$C$32)</f>
        <v>2.6464725</v>
      </c>
      <c r="M5" s="45" t="str">
        <f aca="false">Tercerizar!$J$5</f>
        <v>Producir</v>
      </c>
      <c r="N5" s="46" t="n">
        <f aca="false">IF(M5="Producir",J5,L5)</f>
        <v>1.867</v>
      </c>
      <c r="O5" s="47" t="n">
        <f aca="false">(C5-N5)/C5</f>
        <v>0.566856</v>
      </c>
      <c r="P5" s="47" t="n">
        <f aca="false">(D5-N5)/D5</f>
        <v>0.356206896551724</v>
      </c>
      <c r="Q5" s="36" t="n">
        <f aca="false">(Demanda!$N$17*Supuestos!$C54/Supuestos!$C$67/$C5+Demanda!$N$21*Supuestos!$D54/Supuestos!$D$67/$D5)</f>
        <v>1292.29078804121</v>
      </c>
      <c r="R5" s="36" t="n">
        <f aca="false">(Demanda!$N$37*Supuestos!$C54/Supuestos!$C$67/$C5+Demanda!$N$41*Supuestos!$D54/Supuestos!$D$67/$D5)</f>
        <v>4094.66055973718</v>
      </c>
      <c r="S5" s="36" t="n">
        <f aca="false">(Demanda!$N$57*Supuestos!$C54/Supuestos!$C$67/$C5+Demanda!$N$61*Supuestos!$D54/Supuestos!$D$67/$D5)</f>
        <v>11838.8254708442</v>
      </c>
      <c r="T5" s="48" t="n">
        <f aca="false">MAX(0,1-(N5*Supuestos!$D$18/(1-Supuestos!$C$36))/B5)</f>
        <v>0.502133333333333</v>
      </c>
    </row>
    <row r="6" customFormat="false" ht="15" hidden="false" customHeight="false" outlineLevel="0" collapsed="false">
      <c r="A6" s="15" t="str">
        <f aca="false">Supuestos!A55</f>
        <v>Paquete de 25 fichas</v>
      </c>
      <c r="B6" s="11" t="n">
        <f aca="false">Supuestos!B55</f>
        <v>70</v>
      </c>
      <c r="C6" s="41" t="n">
        <f aca="false">B6/(1+Supuestos!$C$23*Supuestos!$C$24)</f>
        <v>60.3448275862069</v>
      </c>
      <c r="D6" s="41" t="n">
        <f aca="false">B6*(1-Supuestos!$C$22)</f>
        <v>40.6</v>
      </c>
      <c r="E6" s="40" t="n">
        <f aca="false">25*E5</f>
        <v>75</v>
      </c>
      <c r="F6" s="43" t="n">
        <v>4</v>
      </c>
      <c r="G6" s="41" t="n">
        <f aca="false">25*G5+2</f>
        <v>12.5</v>
      </c>
      <c r="H6" s="41" t="n">
        <f aca="false">25*H5</f>
        <v>7.5</v>
      </c>
      <c r="I6" s="43" t="n">
        <v>1</v>
      </c>
      <c r="J6" s="44" t="n">
        <f aca="false">E6*Supuestos!$C$31/1000+F6+G6+H6+I6</f>
        <v>51.175</v>
      </c>
      <c r="K6" s="28" t="n">
        <v>1.35</v>
      </c>
      <c r="L6" s="44" t="n">
        <f aca="false">J6*K6*(1+Supuestos!$C$32)</f>
        <v>72.5405625</v>
      </c>
      <c r="M6" s="45" t="str">
        <f aca="false">Tercerizar!$J$5</f>
        <v>Producir</v>
      </c>
      <c r="N6" s="46" t="n">
        <f aca="false">IF(M6="Producir",J6,L6)</f>
        <v>51.175</v>
      </c>
      <c r="O6" s="47" t="n">
        <f aca="false">(C6-N6)/C6</f>
        <v>0.151957142857143</v>
      </c>
      <c r="P6" s="47" t="n">
        <f aca="false">(D6-N6)/D6</f>
        <v>-0.260467980295566</v>
      </c>
      <c r="Q6" s="36" t="n">
        <f aca="false">(Demanda!$N$17*Supuestos!$C55/Supuestos!$C$67/$C6+Demanda!$N$21*Supuestos!$D55/Supuestos!$D$67/$D6)</f>
        <v>307.504103872318</v>
      </c>
      <c r="R6" s="36" t="n">
        <f aca="false">(Demanda!$N$37*Supuestos!$C55/Supuestos!$C$67/$C6+Demanda!$N$41*Supuestos!$D55/Supuestos!$D$67/$D6)</f>
        <v>1048.90079687193</v>
      </c>
      <c r="S6" s="36" t="n">
        <f aca="false">(Demanda!$N$57*Supuestos!$C55/Supuestos!$C$67/$C6+Demanda!$N$61*Supuestos!$D55/Supuestos!$D$67/$D6)</f>
        <v>3190.50044288639</v>
      </c>
      <c r="T6" s="48" t="n">
        <f aca="false">MAX(0,1-(N6*Supuestos!$D$18/(1-Supuestos!$C$36))/B6)</f>
        <v>0.0252380952380952</v>
      </c>
    </row>
    <row r="7" customFormat="false" ht="15" hidden="false" customHeight="false" outlineLevel="0" collapsed="false">
      <c r="A7" s="15" t="str">
        <f aca="false">Supuestos!A56</f>
        <v>Paquete de 50 fichas</v>
      </c>
      <c r="B7" s="11" t="n">
        <f aca="false">Supuestos!B56</f>
        <v>135</v>
      </c>
      <c r="C7" s="41" t="n">
        <f aca="false">B7/(1+Supuestos!$C$23*Supuestos!$C$24)</f>
        <v>116.379310344828</v>
      </c>
      <c r="D7" s="41" t="n">
        <f aca="false">B7*(1-Supuestos!$C$22)</f>
        <v>78.3</v>
      </c>
      <c r="E7" s="40" t="n">
        <f aca="false">50*E5</f>
        <v>150</v>
      </c>
      <c r="F7" s="43" t="n">
        <v>6</v>
      </c>
      <c r="G7" s="41" t="n">
        <f aca="false">50*G5+2</f>
        <v>23</v>
      </c>
      <c r="H7" s="41" t="n">
        <f aca="false">50*H5</f>
        <v>15</v>
      </c>
      <c r="I7" s="43" t="n">
        <v>1</v>
      </c>
      <c r="J7" s="44" t="n">
        <f aca="false">E7*Supuestos!$C$31/1000+F7+G7+H7+I7</f>
        <v>97.35</v>
      </c>
      <c r="K7" s="28" t="n">
        <v>1.35</v>
      </c>
      <c r="L7" s="44" t="n">
        <f aca="false">J7*K7*(1+Supuestos!$C$32)</f>
        <v>137.993625</v>
      </c>
      <c r="M7" s="45" t="str">
        <f aca="false">Tercerizar!$J$5</f>
        <v>Producir</v>
      </c>
      <c r="N7" s="46" t="n">
        <f aca="false">IF(M7="Producir",J7,L7)</f>
        <v>97.35</v>
      </c>
      <c r="O7" s="47" t="n">
        <f aca="false">(C7-N7)/C7</f>
        <v>0.163511111111111</v>
      </c>
      <c r="P7" s="47" t="n">
        <f aca="false">(D7-N7)/D7</f>
        <v>-0.243295019157088</v>
      </c>
      <c r="Q7" s="36" t="n">
        <f aca="false">(Demanda!$N$17*Supuestos!$C56/Supuestos!$C$67/$C7+Demanda!$N$21*Supuestos!$D56/Supuestos!$D$67/$D7)</f>
        <v>135.543911554419</v>
      </c>
      <c r="R7" s="36" t="n">
        <f aca="false">(Demanda!$N$37*Supuestos!$C56/Supuestos!$C$67/$C7+Demanda!$N$41*Supuestos!$D56/Supuestos!$D$67/$D7)</f>
        <v>456.539188489388</v>
      </c>
      <c r="S7" s="36" t="n">
        <f aca="false">(Demanda!$N$57*Supuestos!$C56/Supuestos!$C$67/$C7+Demanda!$N$61*Supuestos!$D56/Supuestos!$D$67/$D7)</f>
        <v>1377.27100280403</v>
      </c>
      <c r="T7" s="48" t="n">
        <f aca="false">MAX(0,1-(N7*Supuestos!$D$18/(1-Supuestos!$C$36))/B7)</f>
        <v>0.0385185185185186</v>
      </c>
    </row>
    <row r="8" customFormat="false" ht="15" hidden="false" customHeight="false" outlineLevel="0" collapsed="false">
      <c r="A8" s="15" t="str">
        <f aca="false">Supuestos!A57</f>
        <v>Paquete de 100 fichas</v>
      </c>
      <c r="B8" s="11" t="n">
        <f aca="false">Supuestos!B57</f>
        <v>280</v>
      </c>
      <c r="C8" s="41" t="n">
        <f aca="false">B8/(1+Supuestos!$C$23*Supuestos!$C$24)</f>
        <v>241.379310344828</v>
      </c>
      <c r="D8" s="41" t="n">
        <f aca="false">B8*(1-Supuestos!$C$22)</f>
        <v>162.4</v>
      </c>
      <c r="E8" s="40" t="n">
        <f aca="false">100*E5</f>
        <v>300</v>
      </c>
      <c r="F8" s="43" t="n">
        <v>10</v>
      </c>
      <c r="G8" s="41" t="n">
        <f aca="false">100*G5+2</f>
        <v>44</v>
      </c>
      <c r="H8" s="41" t="n">
        <f aca="false">100*H5</f>
        <v>30</v>
      </c>
      <c r="I8" s="43" t="n">
        <v>1</v>
      </c>
      <c r="J8" s="44" t="n">
        <f aca="false">E8*Supuestos!$C$31/1000+F8+G8+H8+I8</f>
        <v>189.7</v>
      </c>
      <c r="K8" s="28" t="n">
        <v>1.35</v>
      </c>
      <c r="L8" s="44" t="n">
        <f aca="false">J8*K8*(1+Supuestos!$C$32)</f>
        <v>268.89975</v>
      </c>
      <c r="M8" s="45" t="str">
        <f aca="false">Tercerizar!$J$5</f>
        <v>Producir</v>
      </c>
      <c r="N8" s="46" t="n">
        <f aca="false">IF(M8="Producir",J8,L8)</f>
        <v>189.7</v>
      </c>
      <c r="O8" s="47" t="n">
        <f aca="false">(C8-N8)/C8</f>
        <v>0.2141</v>
      </c>
      <c r="P8" s="47" t="n">
        <f aca="false">(D8-N8)/D8</f>
        <v>-0.168103448275862</v>
      </c>
      <c r="Q8" s="36" t="n">
        <f aca="false">(Demanda!$N$17*Supuestos!$C57/Supuestos!$C$67/$C8+Demanda!$N$21*Supuestos!$D57/Supuestos!$D$67/$D8)</f>
        <v>49.9763235915506</v>
      </c>
      <c r="R8" s="36" t="n">
        <f aca="false">(Demanda!$N$37*Supuestos!$C57/Supuestos!$C$67/$C8+Demanda!$N$41*Supuestos!$D57/Supuestos!$D$67/$D8)</f>
        <v>167.672068892359</v>
      </c>
      <c r="S8" s="36" t="n">
        <f aca="false">(Demanda!$N$57*Supuestos!$C57/Supuestos!$C$67/$C8+Demanda!$N$61*Supuestos!$D57/Supuestos!$D$67/$D8)</f>
        <v>504.516354207622</v>
      </c>
      <c r="T8" s="48" t="n">
        <f aca="false">MAX(0,1-(N8*Supuestos!$D$18/(1-Supuestos!$C$36))/B8)</f>
        <v>0.0966666666666668</v>
      </c>
    </row>
    <row r="9" customFormat="false" ht="15" hidden="false" customHeight="false" outlineLevel="0" collapsed="false">
      <c r="A9" s="15" t="str">
        <f aca="false">Supuestos!A58</f>
        <v>Tazas personalizadas</v>
      </c>
      <c r="B9" s="11" t="n">
        <f aca="false">Supuestos!B58</f>
        <v>198</v>
      </c>
      <c r="C9" s="41" t="n">
        <f aca="false">B9/(1+Supuestos!$C$23*Supuestos!$C$24)</f>
        <v>170.689655172414</v>
      </c>
      <c r="D9" s="41" t="n">
        <f aca="false">B9*(1-Supuestos!$C$22)</f>
        <v>114.84</v>
      </c>
      <c r="E9" s="42" t="n">
        <v>0</v>
      </c>
      <c r="F9" s="43" t="n">
        <v>42</v>
      </c>
      <c r="G9" s="43" t="n">
        <v>3.5</v>
      </c>
      <c r="H9" s="43" t="n">
        <v>1.5</v>
      </c>
      <c r="I9" s="43" t="n">
        <v>5</v>
      </c>
      <c r="J9" s="44" t="n">
        <f aca="false">E9*Supuestos!$C$31/1000+F9+G9+H9+I9</f>
        <v>52</v>
      </c>
      <c r="K9" s="28" t="n">
        <v>1.5</v>
      </c>
      <c r="L9" s="44" t="n">
        <f aca="false">J9*K9*(1+Supuestos!$C$32)</f>
        <v>81.9</v>
      </c>
      <c r="M9" s="45" t="str">
        <f aca="false">Tercerizar!$J$7</f>
        <v>Tercerizar</v>
      </c>
      <c r="N9" s="46" t="n">
        <f aca="false">IF(M9="Producir",J9,L9)</f>
        <v>81.9</v>
      </c>
      <c r="O9" s="47" t="n">
        <f aca="false">(C9-N9)/C9</f>
        <v>0.520181818181818</v>
      </c>
      <c r="P9" s="47" t="n">
        <f aca="false">(D9-N9)/D9</f>
        <v>0.286833855799373</v>
      </c>
      <c r="Q9" s="36" t="n">
        <f aca="false">(Demanda!$N$17*Supuestos!$C58/Supuestos!$C$67/$C9+Demanda!$N$21*Supuestos!$D58/Supuestos!$D$67/$D9)</f>
        <v>47.9042946023333</v>
      </c>
      <c r="R9" s="36" t="n">
        <f aca="false">(Demanda!$N$37*Supuestos!$C58/Supuestos!$C$67/$C9+Demanda!$N$41*Supuestos!$D58/Supuestos!$D$67/$D9)</f>
        <v>134.914820077813</v>
      </c>
      <c r="S9" s="36" t="n">
        <f aca="false">(Demanda!$N$57*Supuestos!$C58/Supuestos!$C$67/$C9+Demanda!$N$61*Supuestos!$D58/Supuestos!$D$67/$D9)</f>
        <v>354.365851686292</v>
      </c>
      <c r="T9" s="48" t="n">
        <f aca="false">MAX(0,1-(N9*Supuestos!$D$18/(1-Supuestos!$C$36))/B9)</f>
        <v>0.448484848484849</v>
      </c>
    </row>
    <row r="10" customFormat="false" ht="15" hidden="false" customHeight="false" outlineLevel="0" collapsed="false">
      <c r="A10" s="15" t="str">
        <f aca="false">Supuestos!A59</f>
        <v>Vasos y termos personalizados</v>
      </c>
      <c r="B10" s="11" t="n">
        <f aca="false">Supuestos!B59</f>
        <v>497</v>
      </c>
      <c r="C10" s="41" t="n">
        <f aca="false">B10/(1+Supuestos!$C$23*Supuestos!$C$24)</f>
        <v>428.448275862069</v>
      </c>
      <c r="D10" s="41" t="n">
        <f aca="false">B10*(1-Supuestos!$C$22)</f>
        <v>288.26</v>
      </c>
      <c r="E10" s="42" t="n">
        <v>0</v>
      </c>
      <c r="F10" s="43" t="n">
        <v>170</v>
      </c>
      <c r="G10" s="43" t="n">
        <v>4.2</v>
      </c>
      <c r="H10" s="43" t="n">
        <v>6</v>
      </c>
      <c r="I10" s="43" t="n">
        <v>8</v>
      </c>
      <c r="J10" s="44" t="n">
        <f aca="false">E10*Supuestos!$C$31/1000+F10+G10+H10+I10</f>
        <v>188.2</v>
      </c>
      <c r="K10" s="28" t="n">
        <v>1.35</v>
      </c>
      <c r="L10" s="44" t="n">
        <f aca="false">J10*K10*(1+Supuestos!$C$32)</f>
        <v>266.7735</v>
      </c>
      <c r="M10" s="45" t="str">
        <f aca="false">Tercerizar!$J$6</f>
        <v>Tercerizar</v>
      </c>
      <c r="N10" s="46" t="n">
        <f aca="false">IF(M10="Producir",J10,L10)</f>
        <v>266.7735</v>
      </c>
      <c r="O10" s="47" t="n">
        <f aca="false">(C10-N10)/C10</f>
        <v>0.377349577464789</v>
      </c>
      <c r="P10" s="47" t="n">
        <f aca="false">(D10-N10)/D10</f>
        <v>0.0745386109762022</v>
      </c>
      <c r="Q10" s="36" t="n">
        <f aca="false">(Demanda!$N$17*Supuestos!$C59/Supuestos!$C$67/$C10+Demanda!$N$21*Supuestos!$D59/Supuestos!$D$67/$D10)</f>
        <v>22.5587819388568</v>
      </c>
      <c r="R10" s="36" t="n">
        <f aca="false">(Demanda!$N$37*Supuestos!$C59/Supuestos!$C$67/$C10+Demanda!$N$41*Supuestos!$D59/Supuestos!$D$67/$D10)</f>
        <v>61.8161813181895</v>
      </c>
      <c r="S10" s="36" t="n">
        <f aca="false">(Demanda!$N$57*Supuestos!$C59/Supuestos!$C$67/$C10+Demanda!$N$61*Supuestos!$D59/Supuestos!$D$67/$D10)</f>
        <v>158.276826515851</v>
      </c>
      <c r="T10" s="48" t="n">
        <f aca="false">MAX(0,1-(N10*Supuestos!$D$18/(1-Supuestos!$C$36))/B10)</f>
        <v>0.284309859154929</v>
      </c>
    </row>
    <row r="11" customFormat="false" ht="15" hidden="false" customHeight="false" outlineLevel="0" collapsed="false">
      <c r="A11" s="15" t="str">
        <f aca="false">Supuestos!A60</f>
        <v>Agendas</v>
      </c>
      <c r="B11" s="11" t="n">
        <f aca="false">Supuestos!B60</f>
        <v>397</v>
      </c>
      <c r="C11" s="41" t="n">
        <f aca="false">B11/(1+Supuestos!$C$23*Supuestos!$C$24)</f>
        <v>342.241379310345</v>
      </c>
      <c r="D11" s="41" t="n">
        <f aca="false">B11*(1-Supuestos!$C$22)</f>
        <v>230.26</v>
      </c>
      <c r="E11" s="42" t="n">
        <v>0</v>
      </c>
      <c r="F11" s="43" t="n">
        <v>160</v>
      </c>
      <c r="G11" s="43" t="n">
        <v>8.4</v>
      </c>
      <c r="H11" s="43" t="n">
        <v>0</v>
      </c>
      <c r="I11" s="43" t="n">
        <v>6</v>
      </c>
      <c r="J11" s="44" t="n">
        <f aca="false">E11*Supuestos!$C$31/1000+F11+G11+H11+I11</f>
        <v>174.4</v>
      </c>
      <c r="K11" s="28" t="n">
        <v>1.15</v>
      </c>
      <c r="L11" s="44" t="n">
        <f aca="false">J11*K11*(1+Supuestos!$C$32)</f>
        <v>210.588</v>
      </c>
      <c r="M11" s="45" t="str">
        <f aca="false">Tercerizar!$J$8</f>
        <v>Producir</v>
      </c>
      <c r="N11" s="46" t="n">
        <f aca="false">IF(M11="Producir",J11,L11)</f>
        <v>174.4</v>
      </c>
      <c r="O11" s="47" t="n">
        <f aca="false">(C11-N11)/C11</f>
        <v>0.490418136020151</v>
      </c>
      <c r="P11" s="47" t="n">
        <f aca="false">(D11-N11)/D11</f>
        <v>0.242595327021628</v>
      </c>
      <c r="Q11" s="36" t="n">
        <f aca="false">(Demanda!$N$17*Supuestos!$C60/Supuestos!$C$67/$C11+Demanda!$N$21*Supuestos!$D60/Supuestos!$D$67/$D11)</f>
        <v>24.9742632869163</v>
      </c>
      <c r="R11" s="36" t="n">
        <f aca="false">(Demanda!$N$37*Supuestos!$C60/Supuestos!$C$67/$C11+Demanda!$N$41*Supuestos!$D60/Supuestos!$D$67/$D11)</f>
        <v>71.7690636729282</v>
      </c>
      <c r="S11" s="36" t="n">
        <f aca="false">(Demanda!$N$57*Supuestos!$C60/Supuestos!$C$67/$C11+Demanda!$N$61*Supuestos!$D60/Supuestos!$D$67/$D11)</f>
        <v>191.92044242621</v>
      </c>
      <c r="T11" s="48" t="n">
        <f aca="false">MAX(0,1-(N11*Supuestos!$D$18/(1-Supuestos!$C$36))/B11)</f>
        <v>0.414273719563392</v>
      </c>
    </row>
    <row r="12" customFormat="false" ht="15" hidden="false" customHeight="false" outlineLevel="0" collapsed="false">
      <c r="A12" s="15" t="str">
        <f aca="false">Supuestos!A61</f>
        <v>Libretas</v>
      </c>
      <c r="B12" s="11" t="n">
        <f aca="false">Supuestos!B61</f>
        <v>250</v>
      </c>
      <c r="C12" s="41" t="n">
        <f aca="false">B12/(1+Supuestos!$C$23*Supuestos!$C$24)</f>
        <v>215.51724137931</v>
      </c>
      <c r="D12" s="41" t="n">
        <f aca="false">B12*(1-Supuestos!$C$22)</f>
        <v>145</v>
      </c>
      <c r="E12" s="42" t="n">
        <v>0</v>
      </c>
      <c r="F12" s="43" t="n">
        <v>70</v>
      </c>
      <c r="G12" s="43" t="n">
        <v>5.6</v>
      </c>
      <c r="H12" s="43" t="n">
        <v>8</v>
      </c>
      <c r="I12" s="43" t="n">
        <v>4</v>
      </c>
      <c r="J12" s="44" t="n">
        <f aca="false">E12*Supuestos!$C$31/1000+F12+G12+H12+I12</f>
        <v>87.6</v>
      </c>
      <c r="K12" s="28" t="n">
        <v>1.15</v>
      </c>
      <c r="L12" s="44" t="n">
        <f aca="false">J12*K12*(1+Supuestos!$C$32)</f>
        <v>105.777</v>
      </c>
      <c r="M12" s="45" t="str">
        <f aca="false">Tercerizar!$J$8</f>
        <v>Producir</v>
      </c>
      <c r="N12" s="46" t="n">
        <f aca="false">IF(M12="Producir",J12,L12)</f>
        <v>87.6</v>
      </c>
      <c r="O12" s="47" t="n">
        <f aca="false">(C12-N12)/C12</f>
        <v>0.593536</v>
      </c>
      <c r="P12" s="47" t="n">
        <f aca="false">(D12-N12)/D12</f>
        <v>0.395862068965517</v>
      </c>
      <c r="Q12" s="36" t="n">
        <f aca="false">(Demanda!$N$17*Supuestos!$C61/Supuestos!$C$67/$C12+Demanda!$N$21*Supuestos!$D61/Supuestos!$D$67/$D12)</f>
        <v>35.3153950565367</v>
      </c>
      <c r="R12" s="36" t="n">
        <f aca="false">(Demanda!$N$37*Supuestos!$C61/Supuestos!$C$67/$C12+Demanda!$N$41*Supuestos!$D61/Supuestos!$D$67/$D12)</f>
        <v>114.820801312649</v>
      </c>
      <c r="S12" s="36" t="n">
        <f aca="false">(Demanda!$N$57*Supuestos!$C61/Supuestos!$C$67/$C12+Demanda!$N$61*Supuestos!$D61/Supuestos!$D$67/$D12)</f>
        <v>338.166475836342</v>
      </c>
      <c r="T12" s="48" t="n">
        <f aca="false">MAX(0,1-(N12*Supuestos!$D$18/(1-Supuestos!$C$36))/B12)</f>
        <v>0.5328</v>
      </c>
    </row>
    <row r="13" customFormat="false" ht="15" hidden="false" customHeight="false" outlineLevel="0" collapsed="false">
      <c r="A13" s="15" t="str">
        <f aca="false">Supuestos!A62</f>
        <v>Sellos (madera, autoentintables y cera)</v>
      </c>
      <c r="B13" s="11" t="n">
        <f aca="false">Supuestos!B62</f>
        <v>424</v>
      </c>
      <c r="C13" s="41" t="n">
        <f aca="false">B13/(1+Supuestos!$C$23*Supuestos!$C$24)</f>
        <v>365.51724137931</v>
      </c>
      <c r="D13" s="41" t="n">
        <f aca="false">B13*(1-Supuestos!$C$22)</f>
        <v>245.92</v>
      </c>
      <c r="E13" s="42" t="n">
        <v>0</v>
      </c>
      <c r="F13" s="43" t="n">
        <v>110</v>
      </c>
      <c r="G13" s="43" t="n">
        <v>7</v>
      </c>
      <c r="H13" s="43" t="n">
        <v>12</v>
      </c>
      <c r="I13" s="43" t="n">
        <v>5</v>
      </c>
      <c r="J13" s="44" t="n">
        <f aca="false">E13*Supuestos!$C$31/1000+F13+G13+H13+I13</f>
        <v>134</v>
      </c>
      <c r="K13" s="28" t="n">
        <v>1.2</v>
      </c>
      <c r="L13" s="44" t="n">
        <f aca="false">J13*K13*(1+Supuestos!$C$32)</f>
        <v>168.84</v>
      </c>
      <c r="M13" s="45" t="str">
        <f aca="false">Tercerizar!$J$6</f>
        <v>Tercerizar</v>
      </c>
      <c r="N13" s="46" t="n">
        <f aca="false">IF(M13="Producir",J13,L13)</f>
        <v>168.84</v>
      </c>
      <c r="O13" s="47" t="n">
        <f aca="false">(C13-N13)/C13</f>
        <v>0.538079245283019</v>
      </c>
      <c r="P13" s="47" t="n">
        <f aca="false">(D13-N13)/D13</f>
        <v>0.313435263500325</v>
      </c>
      <c r="Q13" s="36" t="n">
        <f aca="false">(Demanda!$N$17*Supuestos!$C62/Supuestos!$C$67/$C13+Demanda!$N$21*Supuestos!$D62/Supuestos!$D$67/$D13)</f>
        <v>30.9944380568901</v>
      </c>
      <c r="R13" s="36" t="n">
        <f aca="false">(Demanda!$N$37*Supuestos!$C62/Supuestos!$C$67/$C13+Demanda!$N$41*Supuestos!$D62/Supuestos!$D$67/$D13)</f>
        <v>95.0060934271699</v>
      </c>
      <c r="S13" s="36" t="n">
        <f aca="false">(Demanda!$N$57*Supuestos!$C62/Supuestos!$C$67/$C13+Demanda!$N$61*Supuestos!$D62/Supuestos!$D$67/$D13)</f>
        <v>267.914767138465</v>
      </c>
      <c r="T13" s="48" t="n">
        <f aca="false">MAX(0,1-(N13*Supuestos!$D$18/(1-Supuestos!$C$36))/B13)</f>
        <v>0.469056603773585</v>
      </c>
    </row>
    <row r="14" customFormat="false" ht="15" hidden="false" customHeight="false" outlineLevel="0" collapsed="false">
      <c r="A14" s="15" t="str">
        <f aca="false">Supuestos!A63</f>
        <v>Impresión 3D y otros personalizados</v>
      </c>
      <c r="B14" s="11" t="n">
        <f aca="false">Supuestos!B63</f>
        <v>600</v>
      </c>
      <c r="C14" s="41" t="n">
        <f aca="false">B14/(1+Supuestos!$C$23*Supuestos!$C$24)</f>
        <v>517.241379310345</v>
      </c>
      <c r="D14" s="41" t="n">
        <f aca="false">B14*(1-Supuestos!$C$22)</f>
        <v>348</v>
      </c>
      <c r="E14" s="42" t="n">
        <v>0</v>
      </c>
      <c r="F14" s="43" t="n">
        <v>150</v>
      </c>
      <c r="G14" s="43" t="n">
        <v>40</v>
      </c>
      <c r="H14" s="43" t="n">
        <v>15</v>
      </c>
      <c r="I14" s="43" t="n">
        <v>15</v>
      </c>
      <c r="J14" s="44" t="n">
        <f aca="false">E14*Supuestos!$C$31/1000+F14+G14+H14+I14</f>
        <v>220</v>
      </c>
      <c r="K14" s="28" t="n">
        <v>1.4</v>
      </c>
      <c r="L14" s="44" t="n">
        <f aca="false">J14*K14*(1+Supuestos!$C$32)</f>
        <v>323.4</v>
      </c>
      <c r="M14" s="45" t="str">
        <f aca="false">Tercerizar!$J$5</f>
        <v>Producir</v>
      </c>
      <c r="N14" s="46" t="n">
        <f aca="false">IF(M14="Producir",J14,L14)</f>
        <v>220</v>
      </c>
      <c r="O14" s="47" t="n">
        <f aca="false">(C14-N14)/C14</f>
        <v>0.574666666666667</v>
      </c>
      <c r="P14" s="47" t="n">
        <f aca="false">(D14-N14)/D14</f>
        <v>0.367816091954023</v>
      </c>
      <c r="Q14" s="36" t="n">
        <f aca="false">(Demanda!$N$17*Supuestos!$C63/Supuestos!$C$67/$C14+Demanda!$N$21*Supuestos!$D63/Supuestos!$D$67/$D14)</f>
        <v>7.18798828664538</v>
      </c>
      <c r="R14" s="36" t="n">
        <f aca="false">(Demanda!$N$37*Supuestos!$C63/Supuestos!$C$67/$C14+Demanda!$N$41*Supuestos!$D63/Supuestos!$D$67/$D14)</f>
        <v>19.2956388082631</v>
      </c>
      <c r="S14" s="36" t="n">
        <f aca="false">(Demanda!$N$57*Supuestos!$C63/Supuestos!$C$67/$C14+Demanda!$N$61*Supuestos!$D63/Supuestos!$D$67/$D14)</f>
        <v>48.4237371793722</v>
      </c>
      <c r="T14" s="48" t="n">
        <f aca="false">MAX(0,1-(N14*Supuestos!$D$18/(1-Supuestos!$C$36))/B14)</f>
        <v>0.511111111111111</v>
      </c>
    </row>
    <row r="15" customFormat="false" ht="15" hidden="false" customHeight="false" outlineLevel="0" collapsed="false">
      <c r="A15" s="15" t="str">
        <f aca="false">Supuestos!A64</f>
        <v>Mini CD con NFC</v>
      </c>
      <c r="B15" s="11" t="n">
        <f aca="false">Supuestos!B64</f>
        <v>185</v>
      </c>
      <c r="C15" s="41" t="n">
        <f aca="false">B15/(1+Supuestos!$C$23*Supuestos!$C$24)</f>
        <v>159.48275862069</v>
      </c>
      <c r="D15" s="41" t="n">
        <f aca="false">B15*(1-Supuestos!$C$22)</f>
        <v>107.3</v>
      </c>
      <c r="E15" s="42" t="n">
        <v>0</v>
      </c>
      <c r="F15" s="43" t="n">
        <v>36</v>
      </c>
      <c r="G15" s="43" t="n">
        <v>3.5</v>
      </c>
      <c r="H15" s="43" t="n">
        <v>4</v>
      </c>
      <c r="I15" s="43" t="n">
        <v>4</v>
      </c>
      <c r="J15" s="44" t="n">
        <f aca="false">E15*Supuestos!$C$31/1000+F15+G15+H15+I15</f>
        <v>47.5</v>
      </c>
      <c r="K15" s="28" t="n">
        <v>1.3</v>
      </c>
      <c r="L15" s="44" t="n">
        <f aca="false">J15*K15*(1+Supuestos!$C$32)</f>
        <v>64.8375</v>
      </c>
      <c r="M15" s="45" t="str">
        <f aca="false">Tercerizar!$J$8</f>
        <v>Producir</v>
      </c>
      <c r="N15" s="46" t="n">
        <f aca="false">IF(M15="Producir",J15,L15)</f>
        <v>47.5</v>
      </c>
      <c r="O15" s="47" t="n">
        <f aca="false">(C15-N15)/C15</f>
        <v>0.702162162162162</v>
      </c>
      <c r="P15" s="47" t="n">
        <f aca="false">(D15-N15)/D15</f>
        <v>0.557315936626282</v>
      </c>
      <c r="Q15" s="36" t="n">
        <f aca="false">(Demanda!$N$17*Supuestos!$C64/Supuestos!$C$67/$C15+Demanda!$N$21*Supuestos!$D64/Supuestos!$D$67/$D15)</f>
        <v>48.9058519991538</v>
      </c>
      <c r="R15" s="36" t="n">
        <f aca="false">(Demanda!$N$37*Supuestos!$C64/Supuestos!$C$67/$C15+Demanda!$N$41*Supuestos!$D64/Supuestos!$D$67/$D15)</f>
        <v>151.57393699411</v>
      </c>
      <c r="S15" s="36" t="n">
        <f aca="false">(Demanda!$N$57*Supuestos!$C64/Supuestos!$C$67/$C15+Demanda!$N$61*Supuestos!$D64/Supuestos!$D$67/$D15)</f>
        <v>431.076894688391</v>
      </c>
      <c r="T15" s="48" t="n">
        <f aca="false">MAX(0,1-(N15*Supuestos!$D$18/(1-Supuestos!$C$36))/B15)</f>
        <v>0.657657657657658</v>
      </c>
    </row>
    <row r="16" customFormat="false" ht="15" hidden="false" customHeight="false" outlineLevel="0" collapsed="false">
      <c r="A16" s="15" t="str">
        <f aca="false">Supuestos!A65</f>
        <v>Colección Pride</v>
      </c>
      <c r="B16" s="11" t="n">
        <f aca="false">Supuestos!B65</f>
        <v>269</v>
      </c>
      <c r="C16" s="41" t="n">
        <f aca="false">B16/(1+Supuestos!$C$23*Supuestos!$C$24)</f>
        <v>231.896551724138</v>
      </c>
      <c r="D16" s="41" t="n">
        <f aca="false">B16*(1-Supuestos!$C$22)</f>
        <v>156.02</v>
      </c>
      <c r="E16" s="42" t="n">
        <v>0</v>
      </c>
      <c r="F16" s="43" t="n">
        <v>120</v>
      </c>
      <c r="G16" s="43" t="n">
        <v>8</v>
      </c>
      <c r="H16" s="43" t="n">
        <v>12</v>
      </c>
      <c r="I16" s="43" t="n">
        <v>12</v>
      </c>
      <c r="J16" s="44" t="n">
        <f aca="false">E16*Supuestos!$C$31/1000+F16+G16+H16+I16</f>
        <v>152</v>
      </c>
      <c r="K16" s="28" t="n">
        <v>1.2</v>
      </c>
      <c r="L16" s="44" t="n">
        <f aca="false">J16*K16*(1+Supuestos!$C$32)</f>
        <v>191.52</v>
      </c>
      <c r="M16" s="45" t="str">
        <f aca="false">Tercerizar!$J$7</f>
        <v>Tercerizar</v>
      </c>
      <c r="N16" s="46" t="n">
        <f aca="false">IF(M16="Producir",J16,L16)</f>
        <v>191.52</v>
      </c>
      <c r="O16" s="47" t="n">
        <f aca="false">(C16-N16)/C16</f>
        <v>0.174114498141264</v>
      </c>
      <c r="P16" s="47" t="n">
        <f aca="false">(D16-N16)/D16</f>
        <v>-0.227534931419049</v>
      </c>
      <c r="Q16" s="36" t="n">
        <f aca="false">(Demanda!$N$17*Supuestos!$C65/Supuestos!$C$67/$C16+Demanda!$N$21*Supuestos!$D65/Supuestos!$D$67/$D16)</f>
        <v>28.0284467777058</v>
      </c>
      <c r="R16" s="36" t="n">
        <f aca="false">(Demanda!$N$37*Supuestos!$C65/Supuestos!$C$67/$C16+Demanda!$N$41*Supuestos!$D65/Supuestos!$D$67/$D16)</f>
        <v>86.8685822302058</v>
      </c>
      <c r="S16" s="36" t="n">
        <f aca="false">(Demanda!$N$57*Supuestos!$C65/Supuestos!$C$67/$C16+Demanda!$N$61*Supuestos!$D65/Supuestos!$D$67/$D16)</f>
        <v>247.05460197445</v>
      </c>
      <c r="T16" s="48" t="n">
        <f aca="false">MAX(0,1-(N16*Supuestos!$D$18/(1-Supuestos!$C$36))/B16)</f>
        <v>0.0507063197026022</v>
      </c>
    </row>
    <row r="17" customFormat="false" ht="15" hidden="false" customHeight="false" outlineLevel="0" collapsed="false">
      <c r="A17" s="15" t="str">
        <f aca="false">Supuestos!A66</f>
        <v>Kits y regalos de temporada</v>
      </c>
      <c r="B17" s="11" t="n">
        <f aca="false">Supuestos!B66</f>
        <v>900</v>
      </c>
      <c r="C17" s="41" t="n">
        <f aca="false">B17/(1+Supuestos!$C$23*Supuestos!$C$24)</f>
        <v>775.862068965517</v>
      </c>
      <c r="D17" s="41" t="n">
        <f aca="false">B17*(1-Supuestos!$C$22)</f>
        <v>522</v>
      </c>
      <c r="E17" s="42" t="n">
        <v>0</v>
      </c>
      <c r="F17" s="43" t="n">
        <v>280</v>
      </c>
      <c r="G17" s="43" t="n">
        <v>40</v>
      </c>
      <c r="H17" s="43" t="n">
        <v>10</v>
      </c>
      <c r="I17" s="43" t="n">
        <v>40</v>
      </c>
      <c r="J17" s="44" t="n">
        <f aca="false">E17*Supuestos!$C$31/1000+F17+G17+H17+I17</f>
        <v>370</v>
      </c>
      <c r="K17" s="28" t="n">
        <v>1.25</v>
      </c>
      <c r="L17" s="44" t="n">
        <f aca="false">J17*K17*(1+Supuestos!$C$32)</f>
        <v>485.625</v>
      </c>
      <c r="M17" s="45" t="str">
        <f aca="false">Tercerizar!$J$8</f>
        <v>Producir</v>
      </c>
      <c r="N17" s="46" t="n">
        <f aca="false">IF(M17="Producir",J17,L17)</f>
        <v>370</v>
      </c>
      <c r="O17" s="47" t="n">
        <f aca="false">(C17-N17)/C17</f>
        <v>0.523111111111111</v>
      </c>
      <c r="P17" s="47" t="n">
        <f aca="false">(D17-N17)/D17</f>
        <v>0.291187739463602</v>
      </c>
      <c r="Q17" s="36" t="n">
        <f aca="false">(Demanda!$N$17*Supuestos!$C66/Supuestos!$C$67/$C17+Demanda!$N$21*Supuestos!$D66/Supuestos!$D$67/$D17)</f>
        <v>10.5389448125133</v>
      </c>
      <c r="R17" s="36" t="n">
        <f aca="false">(Demanda!$N$37*Supuestos!$C66/Supuestos!$C$67/$C17+Demanda!$N$41*Supuestos!$D66/Supuestos!$D$67/$D17)</f>
        <v>29.6812604171188</v>
      </c>
      <c r="S17" s="36" t="n">
        <f aca="false">(Demanda!$N$57*Supuestos!$C66/Supuestos!$C$67/$C17+Demanda!$N$61*Supuestos!$D66/Supuestos!$D$67/$D17)</f>
        <v>77.9604873709842</v>
      </c>
      <c r="T17" s="48" t="n">
        <f aca="false">MAX(0,1-(N17*Supuestos!$D$18/(1-Supuestos!$C$36))/B17)</f>
        <v>0.451851851851852</v>
      </c>
    </row>
    <row r="19" customFormat="false" ht="15" hidden="false" customHeight="false" outlineLevel="0" collapsed="false">
      <c r="A19" s="9" t="s">
        <v>211</v>
      </c>
      <c r="B19" s="49" t="n">
        <f aca="false">SUMPRODUCT(Supuestos!C54:C66,N5:N17/C5:C17)/Supuestos!C67</f>
        <v>0.591472203617021</v>
      </c>
    </row>
    <row r="20" customFormat="false" ht="15" hidden="false" customHeight="false" outlineLevel="0" collapsed="false">
      <c r="A20" s="9" t="s">
        <v>212</v>
      </c>
      <c r="B20" s="49" t="n">
        <f aca="false">SUMPRODUCT(Supuestos!D54:D66,N5:N17/D5:D17)/Supuestos!D67</f>
        <v>1.02279149726954</v>
      </c>
    </row>
    <row r="22" customFormat="false" ht="15" hidden="false" customHeight="false" outlineLevel="0" collapsed="false">
      <c r="A22" s="2" t="s">
        <v>213</v>
      </c>
    </row>
  </sheetData>
  <conditionalFormatting sqref="O5:P17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7" min="6" style="0" width="15"/>
    <col collapsed="false" customWidth="true" hidden="false" outlineLevel="0" max="9" min="8" style="0" width="16"/>
    <col collapsed="false" customWidth="true" hidden="false" outlineLevel="0" max="10" min="10" style="0" width="15"/>
    <col collapsed="false" customWidth="true" hidden="false" outlineLevel="0" max="11" min="11" style="0" width="17"/>
  </cols>
  <sheetData>
    <row r="1" customFormat="false" ht="19.7" hidden="false" customHeight="false" outlineLevel="0" collapsed="false">
      <c r="A1" s="1" t="s">
        <v>214</v>
      </c>
    </row>
    <row r="2" customFormat="false" ht="15" hidden="false" customHeight="false" outlineLevel="0" collapsed="false">
      <c r="A2" s="2" t="s">
        <v>215</v>
      </c>
    </row>
    <row r="4" customFormat="false" ht="43.5" hidden="false" customHeight="true" outlineLevel="0" collapsed="false">
      <c r="A4" s="3" t="s">
        <v>216</v>
      </c>
      <c r="B4" s="4" t="s">
        <v>217</v>
      </c>
      <c r="C4" s="4" t="s">
        <v>218</v>
      </c>
      <c r="D4" s="4" t="s">
        <v>219</v>
      </c>
      <c r="E4" s="4" t="s">
        <v>220</v>
      </c>
      <c r="F4" s="4" t="s">
        <v>221</v>
      </c>
      <c r="G4" s="4" t="s">
        <v>222</v>
      </c>
      <c r="H4" s="4" t="s">
        <v>223</v>
      </c>
      <c r="I4" s="4" t="s">
        <v>224</v>
      </c>
      <c r="J4" s="4" t="s">
        <v>225</v>
      </c>
      <c r="K4" s="4" t="s">
        <v>226</v>
      </c>
    </row>
    <row r="5" customFormat="false" ht="30" hidden="false" customHeight="true" outlineLevel="0" collapsed="false">
      <c r="A5" s="9" t="s">
        <v>142</v>
      </c>
      <c r="B5" s="50" t="s">
        <v>227</v>
      </c>
      <c r="C5" s="36" t="n">
        <f aca="false">Costos!R5+Costos!R6+Costos!R7+Costos!R8+Costos!R14</f>
        <v>5787.06825279912</v>
      </c>
      <c r="D5" s="38" t="n">
        <f aca="false">Costos!R5*Costos!J5*Supuestos!$D$18+Costos!R6*Costos!J6*Supuestos!$D$18+Costos!R7*Costos!J7*Supuestos!$D$18+Costos!R8*Costos!J8*Supuestos!$D$18+Costos!R14*Costos!J14*Supuestos!$D$18</f>
        <v>141818.75155109</v>
      </c>
      <c r="E5" s="38" t="n">
        <f aca="false">Costos!R5*Costos!L5*Supuestos!$D$18+Costos!R6*Costos!L6*Supuestos!$D$18+Costos!R7*Costos!L7*Supuestos!$D$18+Costos!R8*Costos!L8*Supuestos!$D$18+Costos!R14*Costos!L14*Supuestos!$D$18</f>
        <v>201250.944951906</v>
      </c>
      <c r="F5" s="11" t="n">
        <f aca="false">Inversión!D5</f>
        <v>36000</v>
      </c>
      <c r="G5" s="38" t="n">
        <f aca="false">F5/Supuestos!$C$27+F5*Supuestos!$C$34</f>
        <v>15600</v>
      </c>
      <c r="H5" s="10" t="n">
        <f aca="false">D5+G5</f>
        <v>157418.75155109</v>
      </c>
      <c r="I5" s="10" t="n">
        <f aca="false">H5-E5</f>
        <v>-43832.1934008157</v>
      </c>
      <c r="J5" s="51" t="str">
        <f aca="false">IF(H5&lt;=E5,"Producir","Tercerizar")</f>
        <v>Producir</v>
      </c>
      <c r="K5" s="36" t="n">
        <f aca="false">IF(E5/C5&gt;D5/C5,G5/(E5/C5-D5/C5),"n/a")</f>
        <v>1519.01283761853</v>
      </c>
    </row>
    <row r="6" customFormat="false" ht="30" hidden="false" customHeight="true" outlineLevel="0" collapsed="false">
      <c r="A6" s="9" t="s">
        <v>151</v>
      </c>
      <c r="B6" s="50" t="s">
        <v>228</v>
      </c>
      <c r="C6" s="36" t="n">
        <f aca="false">Costos!R10+Costos!R13</f>
        <v>156.822274745359</v>
      </c>
      <c r="D6" s="38" t="n">
        <f aca="false">Costos!R10*Costos!J10*Supuestos!$D$18+Costos!R13*Costos!J13*Supuestos!$D$18</f>
        <v>24364.621843324</v>
      </c>
      <c r="E6" s="38" t="n">
        <f aca="false">Costos!R10*Costos!L10*Supuestos!$D$18+Costos!R13*Costos!L13*Supuestos!$D$18</f>
        <v>32531.7478611314</v>
      </c>
      <c r="F6" s="11" t="n">
        <f aca="false">Inversión!D6</f>
        <v>60000</v>
      </c>
      <c r="G6" s="38" t="n">
        <f aca="false">F6/Supuestos!$C$27+F6*Supuestos!$C$34</f>
        <v>26000</v>
      </c>
      <c r="H6" s="10" t="n">
        <f aca="false">D6+G6</f>
        <v>50364.621843324</v>
      </c>
      <c r="I6" s="10" t="n">
        <f aca="false">H6-E6</f>
        <v>17832.8739821926</v>
      </c>
      <c r="J6" s="51" t="str">
        <f aca="false">IF(H6&lt;=E6,"Producir","Tercerizar")</f>
        <v>Tercerizar</v>
      </c>
      <c r="K6" s="36" t="n">
        <f aca="false">IF(E6/C6&gt;D6/C6,G6/(E6/C6-D6/C6),"n/a")</f>
        <v>499.242834564955</v>
      </c>
    </row>
    <row r="7" customFormat="false" ht="30" hidden="false" customHeight="true" outlineLevel="0" collapsed="false">
      <c r="A7" s="9" t="s">
        <v>148</v>
      </c>
      <c r="B7" s="50" t="s">
        <v>229</v>
      </c>
      <c r="C7" s="36" t="n">
        <f aca="false">Costos!R9+Costos!R16</f>
        <v>221.783402308018</v>
      </c>
      <c r="D7" s="38" t="n">
        <f aca="false">Costos!R9*Costos!J9*Supuestos!$D$18+Costos!R16*Costos!J16*Supuestos!$D$18</f>
        <v>20219.5951430375</v>
      </c>
      <c r="E7" s="38" t="n">
        <f aca="false">Costos!R9*Costos!L9*Supuestos!$D$18+Costos!R16*Costos!L16*Supuestos!$D$18</f>
        <v>27686.5946331019</v>
      </c>
      <c r="F7" s="11" t="n">
        <f aca="false">Inversión!D7</f>
        <v>18000</v>
      </c>
      <c r="G7" s="38" t="n">
        <f aca="false">F7/Supuestos!$C$27+F7*Supuestos!$C$34</f>
        <v>7800</v>
      </c>
      <c r="H7" s="10" t="n">
        <f aca="false">D7+G7</f>
        <v>28019.5951430375</v>
      </c>
      <c r="I7" s="10" t="n">
        <f aca="false">H7-E7</f>
        <v>333.000509935671</v>
      </c>
      <c r="J7" s="51" t="str">
        <f aca="false">IF(H7&lt;=E7,"Producir","Tercerizar")</f>
        <v>Tercerizar</v>
      </c>
      <c r="K7" s="36" t="n">
        <f aca="false">IF(E7/C7&gt;D7/C7,G7/(E7/C7-D7/C7),"n/a")</f>
        <v>231.67412028143</v>
      </c>
    </row>
    <row r="8" customFormat="false" ht="30" hidden="false" customHeight="true" outlineLevel="0" collapsed="false">
      <c r="A8" s="9" t="s">
        <v>154</v>
      </c>
      <c r="B8" s="50" t="s">
        <v>230</v>
      </c>
      <c r="C8" s="36" t="n">
        <f aca="false">Costos!R11+Costos!R12+Costos!R15+Costos!R17</f>
        <v>367.845062396806</v>
      </c>
      <c r="D8" s="38" t="n">
        <f aca="false">Costos!R11*Costos!J11*Supuestos!$D$18+Costos!R12*Costos!J12*Supuestos!$D$18+Costos!R15*Costos!J15*Supuestos!$D$18+Costos!R17*Costos!J17*Supuestos!$D$18</f>
        <v>40756.6552611009</v>
      </c>
      <c r="E8" s="38" t="n">
        <f aca="false">Costos!R11*Costos!L11*Supuestos!$D$18+Costos!R12*Costos!L12*Supuestos!$D$18+Costos!R15*Costos!L15*Supuestos!$D$18+Costos!R17*Costos!L17*Supuestos!$D$18</f>
        <v>51500.7407111216</v>
      </c>
      <c r="F8" s="11" t="n">
        <f aca="false">Inversión!D8</f>
        <v>10000</v>
      </c>
      <c r="G8" s="38" t="n">
        <f aca="false">F8/Supuestos!$C$27+F8*Supuestos!$C$34</f>
        <v>4333.33333333333</v>
      </c>
      <c r="H8" s="10" t="n">
        <f aca="false">D8+G8</f>
        <v>45089.9885944342</v>
      </c>
      <c r="I8" s="10" t="n">
        <f aca="false">H8-E8</f>
        <v>-6410.75211668736</v>
      </c>
      <c r="J8" s="51" t="str">
        <f aca="false">IF(H8&lt;=E8,"Producir","Tercerizar")</f>
        <v>Producir</v>
      </c>
      <c r="K8" s="36" t="n">
        <f aca="false">IF(E8/C8&gt;D8/C8,G8/(E8/C8-D8/C8),"n/a")</f>
        <v>148.360256235964</v>
      </c>
    </row>
    <row r="10" customFormat="false" ht="15" hidden="false" customHeight="false" outlineLevel="0" collapsed="false">
      <c r="A10" s="2" t="s">
        <v>231</v>
      </c>
    </row>
    <row r="11" customFormat="false" ht="15" hidden="false" customHeight="false" outlineLevel="0" collapsed="false">
      <c r="A11" s="2" t="s">
        <v>232</v>
      </c>
    </row>
    <row r="13" customFormat="false" ht="15" hidden="false" customHeight="false" outlineLevel="0" collapsed="false">
      <c r="A13" s="17" t="s">
        <v>233</v>
      </c>
    </row>
    <row r="14" customFormat="false" ht="15" hidden="false" customHeight="false" outlineLevel="0" collapsed="false">
      <c r="A14" s="52" t="s">
        <v>234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</row>
    <row r="15" customFormat="false" ht="15" hidden="false" customHeight="false" outlineLevel="0" collapsed="false">
      <c r="A15" s="52" t="s">
        <v>235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</row>
    <row r="16" customFormat="false" ht="15" hidden="false" customHeight="false" outlineLevel="0" collapsed="false">
      <c r="A16" s="52" t="s">
        <v>236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</row>
    <row r="17" customFormat="false" ht="15" hidden="false" customHeight="false" outlineLevel="0" collapsed="false">
      <c r="A17" s="52" t="s">
        <v>237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</row>
    <row r="18" customFormat="false" ht="15" hidden="false" customHeight="false" outlineLevel="0" collapsed="false">
      <c r="A18" s="52" t="s">
        <v>238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</row>
  </sheetData>
  <mergeCells count="5">
    <mergeCell ref="A14:K14"/>
    <mergeCell ref="A15:K15"/>
    <mergeCell ref="A16:K16"/>
    <mergeCell ref="A17:K17"/>
    <mergeCell ref="A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4"/>
    <col collapsed="false" customWidth="true" hidden="false" outlineLevel="0" max="6" min="4" style="0" width="16"/>
    <col collapsed="false" customWidth="true" hidden="false" outlineLevel="0" max="7" min="7" style="0" width="60"/>
  </cols>
  <sheetData>
    <row r="1" customFormat="false" ht="19.7" hidden="false" customHeight="false" outlineLevel="0" collapsed="false">
      <c r="A1" s="1" t="s">
        <v>239</v>
      </c>
    </row>
    <row r="2" customFormat="false" ht="15" hidden="false" customHeight="false" outlineLevel="0" collapsed="false">
      <c r="A2" s="2" t="s">
        <v>240</v>
      </c>
    </row>
    <row r="4" customFormat="false" ht="31.5" hidden="false" customHeight="true" outlineLevel="0" collapsed="false">
      <c r="A4" s="3" t="s">
        <v>140</v>
      </c>
      <c r="B4" s="4" t="s">
        <v>241</v>
      </c>
      <c r="C4" s="4" t="s">
        <v>242</v>
      </c>
      <c r="D4" s="4" t="s">
        <v>243</v>
      </c>
      <c r="E4" s="4" t="s">
        <v>244</v>
      </c>
      <c r="F4" s="4" t="s">
        <v>245</v>
      </c>
      <c r="G4" s="4" t="s">
        <v>6</v>
      </c>
    </row>
    <row r="5" customFormat="false" ht="22.35" hidden="false" customHeight="false" outlineLevel="0" collapsed="false">
      <c r="A5" s="5" t="s">
        <v>246</v>
      </c>
      <c r="B5" s="36" t="n">
        <f aca="false">MAX(1,ROUNDUP((Costos!R5*1+Costos!R6*25+Costos!R7*50+Costos!R8*100)*Supuestos!$C$35/Supuestos!$C$33+Costos!R14*2/Supuestos!$C$33,0))</f>
        <v>4</v>
      </c>
      <c r="C5" s="26" t="n">
        <v>9000</v>
      </c>
      <c r="D5" s="38" t="n">
        <f aca="false">B5*C5</f>
        <v>36000</v>
      </c>
      <c r="E5" s="31" t="s">
        <v>142</v>
      </c>
      <c r="F5" s="45" t="str">
        <f aca="false">IF(Tercerizar!$J$5="Producir","Sí","No")</f>
        <v>Sí</v>
      </c>
      <c r="G5" s="7" t="s">
        <v>247</v>
      </c>
    </row>
    <row r="6" customFormat="false" ht="15" hidden="false" customHeight="false" outlineLevel="0" collapsed="false">
      <c r="A6" s="5" t="s">
        <v>248</v>
      </c>
      <c r="B6" s="30" t="n">
        <v>1</v>
      </c>
      <c r="C6" s="26" t="n">
        <v>60000</v>
      </c>
      <c r="D6" s="38" t="n">
        <f aca="false">B6*C6</f>
        <v>60000</v>
      </c>
      <c r="E6" s="31" t="s">
        <v>151</v>
      </c>
      <c r="F6" s="45" t="str">
        <f aca="false">IF(Tercerizar!$J$6="Producir","Sí","No")</f>
        <v>No</v>
      </c>
      <c r="G6" s="2" t="s">
        <v>249</v>
      </c>
    </row>
    <row r="7" customFormat="false" ht="15" hidden="false" customHeight="false" outlineLevel="0" collapsed="false">
      <c r="A7" s="5" t="s">
        <v>250</v>
      </c>
      <c r="B7" s="30" t="n">
        <v>1</v>
      </c>
      <c r="C7" s="26" t="n">
        <v>18000</v>
      </c>
      <c r="D7" s="38" t="n">
        <f aca="false">B7*C7</f>
        <v>18000</v>
      </c>
      <c r="E7" s="31" t="s">
        <v>148</v>
      </c>
      <c r="F7" s="45" t="str">
        <f aca="false">IF(Tercerizar!$J$7="Producir","Sí","No")</f>
        <v>No</v>
      </c>
      <c r="G7" s="2" t="s">
        <v>58</v>
      </c>
    </row>
    <row r="8" customFormat="false" ht="15" hidden="false" customHeight="false" outlineLevel="0" collapsed="false">
      <c r="A8" s="5" t="s">
        <v>251</v>
      </c>
      <c r="B8" s="30" t="n">
        <v>1</v>
      </c>
      <c r="C8" s="24" t="n">
        <v>10000</v>
      </c>
      <c r="D8" s="38" t="n">
        <f aca="false">B8*C8</f>
        <v>10000</v>
      </c>
      <c r="E8" s="31" t="s">
        <v>154</v>
      </c>
      <c r="F8" s="45" t="str">
        <f aca="false">IF(Tercerizar!$J$8="Producir","Sí","No")</f>
        <v>Sí</v>
      </c>
      <c r="G8" s="2" t="s">
        <v>58</v>
      </c>
    </row>
    <row r="9" customFormat="false" ht="15" hidden="false" customHeight="false" outlineLevel="0" collapsed="false">
      <c r="A9" s="5" t="s">
        <v>252</v>
      </c>
      <c r="B9" s="30" t="n">
        <v>1</v>
      </c>
      <c r="C9" s="24" t="n">
        <v>10000</v>
      </c>
      <c r="D9" s="38" t="n">
        <f aca="false">B9*C9</f>
        <v>10000</v>
      </c>
      <c r="F9" s="21" t="s">
        <v>253</v>
      </c>
      <c r="G9" s="2" t="s">
        <v>254</v>
      </c>
    </row>
    <row r="10" customFormat="false" ht="15" hidden="false" customHeight="false" outlineLevel="0" collapsed="false">
      <c r="A10" s="12" t="s">
        <v>255</v>
      </c>
      <c r="B10" s="53"/>
      <c r="C10" s="53"/>
      <c r="D10" s="13" t="n">
        <f aca="false">SUMPRODUCT((F5:F9="Sí")*D5:D9)</f>
        <v>56000</v>
      </c>
      <c r="E10" s="53"/>
      <c r="F10" s="53"/>
      <c r="G10" s="53"/>
    </row>
    <row r="12" customFormat="false" ht="31.5" hidden="false" customHeight="true" outlineLevel="0" collapsed="false">
      <c r="A12" s="3" t="s">
        <v>256</v>
      </c>
      <c r="B12" s="4"/>
      <c r="C12" s="4"/>
      <c r="D12" s="4" t="s">
        <v>3</v>
      </c>
      <c r="E12" s="4" t="s">
        <v>4</v>
      </c>
      <c r="F12" s="4" t="s">
        <v>5</v>
      </c>
      <c r="G12" s="4" t="s">
        <v>6</v>
      </c>
    </row>
    <row r="13" customFormat="false" ht="15" hidden="false" customHeight="false" outlineLevel="0" collapsed="false">
      <c r="A13" s="5" t="s">
        <v>257</v>
      </c>
      <c r="D13" s="38" t="n">
        <f aca="false">Inversión!$D$10</f>
        <v>56000</v>
      </c>
      <c r="E13" s="38" t="n">
        <f aca="false">Inversión!$D$10</f>
        <v>56000</v>
      </c>
      <c r="F13" s="38" t="n">
        <f aca="false">Inversión!$D$10</f>
        <v>56000</v>
      </c>
      <c r="G13" s="7" t="s">
        <v>258</v>
      </c>
    </row>
    <row r="14" customFormat="false" ht="15" hidden="false" customHeight="false" outlineLevel="0" collapsed="false">
      <c r="A14" s="5" t="s">
        <v>259</v>
      </c>
      <c r="D14" s="38" t="n">
        <f aca="false">Supuestos!$C$28*(Resultados!N9+Resultados!N10+Resultados!N13+Resultados!N14+Resultados!N15)/12</f>
        <v>35354.0651126215</v>
      </c>
      <c r="E14" s="38" t="n">
        <f aca="false">Supuestos!$C$28*(Resultados!N33+Resultados!N34+Resultados!N37+Resultados!N38+Resultados!N39)/12</f>
        <v>66260.1192935726</v>
      </c>
      <c r="F14" s="38" t="n">
        <f aca="false">Supuestos!$C$28*(Resultados!N57+Resultados!N58+Resultados!N61+Resultados!N62+Resultados!N63)/12</f>
        <v>139807.509782761</v>
      </c>
      <c r="G14" s="7" t="s">
        <v>260</v>
      </c>
    </row>
    <row r="15" customFormat="false" ht="15" hidden="false" customHeight="false" outlineLevel="0" collapsed="false">
      <c r="A15" s="12" t="s">
        <v>261</v>
      </c>
      <c r="D15" s="13" t="n">
        <f aca="false">D13+D14</f>
        <v>91354.0651126215</v>
      </c>
      <c r="E15" s="13" t="n">
        <f aca="false">E13+E14</f>
        <v>122260.119293573</v>
      </c>
      <c r="F15" s="13" t="n">
        <f aca="false">F13+F14</f>
        <v>195807.509782761</v>
      </c>
    </row>
    <row r="16" customFormat="false" ht="15" hidden="false" customHeight="false" outlineLevel="0" collapsed="false">
      <c r="A16" s="5" t="s">
        <v>262</v>
      </c>
      <c r="D16" s="11" t="n">
        <f aca="false">Resultados!N19</f>
        <v>-120538.496651719</v>
      </c>
      <c r="E16" s="11" t="n">
        <f aca="false">Resultados!N43</f>
        <v>-84573.6487619164</v>
      </c>
      <c r="F16" s="11" t="n">
        <f aca="false">Resultados!N67</f>
        <v>58202.761743543</v>
      </c>
    </row>
    <row r="17" customFormat="false" ht="15" hidden="false" customHeight="false" outlineLevel="0" collapsed="false">
      <c r="A17" s="9" t="s">
        <v>27</v>
      </c>
      <c r="D17" s="16" t="str">
        <f aca="false">IF(D16&gt;0,D15/(D16/12),"No se recupera")</f>
        <v>No se recupera</v>
      </c>
      <c r="E17" s="16" t="str">
        <f aca="false">IF(E16&gt;0,E15/(E16/12),"No se recupera")</f>
        <v>No se recupera</v>
      </c>
      <c r="F17" s="16" t="n">
        <f aca="false">IF(F16&gt;0,F15/(F16/12),"No se recupera")</f>
        <v>40.3707667300479</v>
      </c>
      <c r="G17" s="2" t="s">
        <v>263</v>
      </c>
    </row>
    <row r="18" customFormat="false" ht="15" hidden="false" customHeight="false" outlineLevel="0" collapsed="false">
      <c r="A18" s="5" t="s">
        <v>264</v>
      </c>
      <c r="D18" s="47" t="n">
        <f aca="false">IFERROR(D16/D15,0)</f>
        <v>-1.31946505613208</v>
      </c>
      <c r="E18" s="47" t="n">
        <f aca="false">IFERROR(E16/E15,0)</f>
        <v>-0.691751727796348</v>
      </c>
      <c r="F18" s="47" t="n">
        <f aca="false">IFERROR(F16/F15,0)</f>
        <v>0.297244788047794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3" min="2" style="0" width="11"/>
    <col collapsed="false" customWidth="true" hidden="false" outlineLevel="0" max="14" min="14" style="0" width="13"/>
  </cols>
  <sheetData>
    <row r="1" customFormat="false" ht="19.7" hidden="false" customHeight="false" outlineLevel="0" collapsed="false">
      <c r="A1" s="1" t="s">
        <v>265</v>
      </c>
    </row>
    <row r="2" customFormat="false" ht="15" hidden="false" customHeight="false" outlineLevel="0" collapsed="false">
      <c r="A2" s="2" t="s">
        <v>266</v>
      </c>
    </row>
    <row r="4" customFormat="false" ht="15" hidden="false" customHeight="false" outlineLevel="0" collapsed="false">
      <c r="A4" s="35" t="s">
        <v>168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</row>
    <row r="5" customFormat="false" ht="21.75" hidden="false" customHeight="true" outlineLevel="0" collapsed="false">
      <c r="A5" s="3" t="s">
        <v>169</v>
      </c>
      <c r="B5" s="4" t="s">
        <v>114</v>
      </c>
      <c r="C5" s="4" t="s">
        <v>116</v>
      </c>
      <c r="D5" s="4" t="s">
        <v>118</v>
      </c>
      <c r="E5" s="4" t="s">
        <v>120</v>
      </c>
      <c r="F5" s="4" t="s">
        <v>122</v>
      </c>
      <c r="G5" s="4" t="s">
        <v>123</v>
      </c>
      <c r="H5" s="4" t="s">
        <v>124</v>
      </c>
      <c r="I5" s="4" t="s">
        <v>126</v>
      </c>
      <c r="J5" s="4" t="s">
        <v>128</v>
      </c>
      <c r="K5" s="4" t="s">
        <v>130</v>
      </c>
      <c r="L5" s="4" t="s">
        <v>132</v>
      </c>
      <c r="M5" s="4" t="s">
        <v>134</v>
      </c>
      <c r="N5" s="4" t="s">
        <v>170</v>
      </c>
    </row>
    <row r="6" customFormat="false" ht="15" hidden="false" customHeight="false" outlineLevel="0" collapsed="false">
      <c r="A6" s="5" t="s">
        <v>267</v>
      </c>
      <c r="B6" s="38" t="n">
        <f aca="false">Demanda!B17</f>
        <v>8029.12362000818</v>
      </c>
      <c r="C6" s="38" t="n">
        <f aca="false">Demanda!C17</f>
        <v>11381.5692789969</v>
      </c>
      <c r="D6" s="38" t="n">
        <f aca="false">Demanda!D17</f>
        <v>4870.81694340868</v>
      </c>
      <c r="E6" s="38" t="n">
        <f aca="false">Demanda!E17</f>
        <v>6628.34789721003</v>
      </c>
      <c r="F6" s="38" t="n">
        <f aca="false">Demanda!F17</f>
        <v>5983.11201996959</v>
      </c>
      <c r="G6" s="38" t="n">
        <f aca="false">Demanda!G17</f>
        <v>6391.18781317574</v>
      </c>
      <c r="H6" s="38" t="n">
        <f aca="false">Demanda!H17</f>
        <v>8195.00724102756</v>
      </c>
      <c r="I6" s="38" t="n">
        <f aca="false">Demanda!I17</f>
        <v>7227.92591272157</v>
      </c>
      <c r="J6" s="38" t="n">
        <f aca="false">Demanda!J17</f>
        <v>5867.53387844587</v>
      </c>
      <c r="K6" s="38" t="n">
        <f aca="false">Demanda!K17</f>
        <v>6621.36913443939</v>
      </c>
      <c r="L6" s="38" t="n">
        <f aca="false">Demanda!L17</f>
        <v>7422.6225058343</v>
      </c>
      <c r="M6" s="38" t="n">
        <f aca="false">Demanda!M17</f>
        <v>7823.13944329934</v>
      </c>
      <c r="N6" s="10" t="n">
        <f aca="false">SUM(B6:M6)</f>
        <v>86441.7556885371</v>
      </c>
    </row>
    <row r="7" customFormat="false" ht="15" hidden="false" customHeight="false" outlineLevel="0" collapsed="false">
      <c r="A7" s="5" t="s">
        <v>268</v>
      </c>
      <c r="B7" s="38" t="n">
        <f aca="false">Demanda!B21</f>
        <v>0</v>
      </c>
      <c r="C7" s="38" t="n">
        <f aca="false">Demanda!C21</f>
        <v>0</v>
      </c>
      <c r="D7" s="38" t="n">
        <f aca="false">Demanda!D21</f>
        <v>441</v>
      </c>
      <c r="E7" s="38" t="n">
        <f aca="false">Demanda!E21</f>
        <v>1137.15</v>
      </c>
      <c r="F7" s="38" t="n">
        <f aca="false">Demanda!F21</f>
        <v>1451.205</v>
      </c>
      <c r="G7" s="38" t="n">
        <f aca="false">Demanda!G21</f>
        <v>1949.913</v>
      </c>
      <c r="H7" s="38" t="n">
        <f aca="false">Demanda!H21</f>
        <v>2966.89995</v>
      </c>
      <c r="I7" s="38" t="n">
        <f aca="false">Demanda!I21</f>
        <v>2951.9217</v>
      </c>
      <c r="J7" s="38" t="n">
        <f aca="false">Demanda!J21</f>
        <v>2629.383624</v>
      </c>
      <c r="K7" s="38" t="n">
        <f aca="false">Demanda!K21</f>
        <v>3229.2509193</v>
      </c>
      <c r="L7" s="38" t="n">
        <f aca="false">Demanda!L21</f>
        <v>3859.2509193</v>
      </c>
      <c r="M7" s="38" t="n">
        <f aca="false">Demanda!M21</f>
        <v>4308.4921187385</v>
      </c>
      <c r="N7" s="10" t="n">
        <f aca="false">SUM(B7:M7)</f>
        <v>24924.4672313385</v>
      </c>
    </row>
    <row r="8" customFormat="false" ht="15" hidden="false" customHeight="false" outlineLevel="0" collapsed="false">
      <c r="A8" s="9" t="s">
        <v>269</v>
      </c>
      <c r="B8" s="10" t="n">
        <f aca="false">B6+B7</f>
        <v>8029.12362000818</v>
      </c>
      <c r="C8" s="10" t="n">
        <f aca="false">C6+C7</f>
        <v>11381.5692789969</v>
      </c>
      <c r="D8" s="10" t="n">
        <f aca="false">D6+D7</f>
        <v>5311.81694340868</v>
      </c>
      <c r="E8" s="10" t="n">
        <f aca="false">E6+E7</f>
        <v>7765.49789721003</v>
      </c>
      <c r="F8" s="10" t="n">
        <f aca="false">F6+F7</f>
        <v>7434.31701996959</v>
      </c>
      <c r="G8" s="10" t="n">
        <f aca="false">G6+G7</f>
        <v>8341.10081317574</v>
      </c>
      <c r="H8" s="10" t="n">
        <f aca="false">H6+H7</f>
        <v>11161.9071910276</v>
      </c>
      <c r="I8" s="10" t="n">
        <f aca="false">I6+I7</f>
        <v>10179.8476127216</v>
      </c>
      <c r="J8" s="10" t="n">
        <f aca="false">J6+J7</f>
        <v>8496.91750244587</v>
      </c>
      <c r="K8" s="10" t="n">
        <f aca="false">K6+K7</f>
        <v>9850.62005373939</v>
      </c>
      <c r="L8" s="10" t="n">
        <f aca="false">L6+L7</f>
        <v>11281.8734251343</v>
      </c>
      <c r="M8" s="10" t="n">
        <f aca="false">M6+M7</f>
        <v>12131.6315620378</v>
      </c>
      <c r="N8" s="10" t="n">
        <f aca="false">SUM(B8:M8)</f>
        <v>111366.222919876</v>
      </c>
    </row>
    <row r="9" customFormat="false" ht="15" hidden="false" customHeight="false" outlineLevel="0" collapsed="false">
      <c r="A9" s="5" t="s">
        <v>270</v>
      </c>
      <c r="B9" s="38" t="n">
        <f aca="false">B6*Costos!$B$19*Supuestos!$C$18</f>
        <v>5461.35395673566</v>
      </c>
      <c r="C9" s="38" t="n">
        <f aca="false">C6*Costos!$B$19*Supuestos!$C$18</f>
        <v>7741.66414137827</v>
      </c>
      <c r="D9" s="38" t="n">
        <f aca="false">D6*Costos!$B$19*Supuestos!$C$18</f>
        <v>3313.09575557301</v>
      </c>
      <c r="E9" s="38" t="n">
        <f aca="false">E6*Costos!$B$19*Supuestos!$C$18</f>
        <v>4508.55606766852</v>
      </c>
      <c r="F9" s="38" t="n">
        <f aca="false">F6*Costos!$B$19*Supuestos!$C$18</f>
        <v>4069.67111857973</v>
      </c>
      <c r="G9" s="38" t="n">
        <f aca="false">G6*Costos!$B$19*Supuestos!$C$18</f>
        <v>4347.2414305277</v>
      </c>
      <c r="H9" s="38" t="n">
        <f aca="false">H6*Costos!$B$19*Supuestos!$C$18</f>
        <v>5574.18684023421</v>
      </c>
      <c r="I9" s="38" t="n">
        <f aca="false">I6*Costos!$B$19*Supuestos!$C$18</f>
        <v>4916.38485725469</v>
      </c>
      <c r="J9" s="38" t="n">
        <f aca="false">J6*Costos!$B$19*Supuestos!$C$18</f>
        <v>3991.05567181419</v>
      </c>
      <c r="K9" s="38" t="n">
        <f aca="false">K6*Costos!$B$19*Supuestos!$C$18</f>
        <v>4503.80916184488</v>
      </c>
      <c r="L9" s="38" t="n">
        <f aca="false">L6*Costos!$B$19*Supuestos!$C$18</f>
        <v>5048.81612366457</v>
      </c>
      <c r="M9" s="38" t="n">
        <f aca="false">M6*Costos!$B$19*Supuestos!$C$18</f>
        <v>5321.24495459122</v>
      </c>
      <c r="N9" s="10" t="n">
        <f aca="false">SUM(B9:M9)</f>
        <v>58797.0800798666</v>
      </c>
    </row>
    <row r="10" customFormat="false" ht="15" hidden="false" customHeight="false" outlineLevel="0" collapsed="false">
      <c r="A10" s="5" t="s">
        <v>271</v>
      </c>
      <c r="B10" s="38" t="n">
        <f aca="false">B7*Costos!$B$20*Supuestos!$C$18</f>
        <v>0</v>
      </c>
      <c r="C10" s="38" t="n">
        <f aca="false">C7*Costos!$B$20*Supuestos!$C$18</f>
        <v>0</v>
      </c>
      <c r="D10" s="38" t="n">
        <f aca="false">D7*Costos!$B$20*Supuestos!$C$18</f>
        <v>518.708707840247</v>
      </c>
      <c r="E10" s="38" t="n">
        <f aca="false">E7*Costos!$B$20*Supuestos!$C$18</f>
        <v>1337.52745378807</v>
      </c>
      <c r="F10" s="38" t="n">
        <f aca="false">F7*Costos!$B$20*Supuestos!$C$18</f>
        <v>1706.9221550143</v>
      </c>
      <c r="G10" s="38" t="n">
        <f aca="false">G7*Costos!$B$20*Supuestos!$C$18</f>
        <v>2293.50760233764</v>
      </c>
      <c r="H10" s="38" t="n">
        <f aca="false">H7*Costos!$B$20*Supuestos!$C$18</f>
        <v>3489.69804842584</v>
      </c>
      <c r="I10" s="38" t="n">
        <f aca="false">I7*Costos!$B$20*Supuestos!$C$18</f>
        <v>3472.08047767026</v>
      </c>
      <c r="J10" s="38" t="n">
        <f aca="false">J7*Costos!$B$20*Supuestos!$C$18</f>
        <v>3092.70789574001</v>
      </c>
      <c r="K10" s="38" t="n">
        <f aca="false">K7*Costos!$B$20*Supuestos!$C$18</f>
        <v>3798.27794023137</v>
      </c>
      <c r="L10" s="38" t="n">
        <f aca="false">L7*Costos!$B$20*Supuestos!$C$18</f>
        <v>4539.29038000315</v>
      </c>
      <c r="M10" s="38" t="n">
        <f aca="false">M7*Costos!$B$20*Supuestos!$C$18</f>
        <v>5067.69247086335</v>
      </c>
      <c r="N10" s="10" t="n">
        <f aca="false">SUM(B10:M10)</f>
        <v>29316.4131319142</v>
      </c>
    </row>
    <row r="11" customFormat="false" ht="15" hidden="false" customHeight="false" outlineLevel="0" collapsed="false">
      <c r="A11" s="12" t="s">
        <v>12</v>
      </c>
      <c r="B11" s="13" t="n">
        <f aca="false">B8-B9-B10</f>
        <v>2567.76966327252</v>
      </c>
      <c r="C11" s="13" t="n">
        <f aca="false">C8-C9-C10</f>
        <v>3639.9051376186</v>
      </c>
      <c r="D11" s="13" t="n">
        <f aca="false">D8-D9-D10</f>
        <v>1480.01247999542</v>
      </c>
      <c r="E11" s="13" t="n">
        <f aca="false">E8-E9-E10</f>
        <v>1919.41437575345</v>
      </c>
      <c r="F11" s="13" t="n">
        <f aca="false">F8-F9-F10</f>
        <v>1657.72374637556</v>
      </c>
      <c r="G11" s="13" t="n">
        <f aca="false">G8-G9-G10</f>
        <v>1700.3517803104</v>
      </c>
      <c r="H11" s="13" t="n">
        <f aca="false">H8-H9-H10</f>
        <v>2098.02230236751</v>
      </c>
      <c r="I11" s="13" t="n">
        <f aca="false">I8-I9-I10</f>
        <v>1791.38227779662</v>
      </c>
      <c r="J11" s="13" t="n">
        <f aca="false">J8-J9-J10</f>
        <v>1413.15393489167</v>
      </c>
      <c r="K11" s="13" t="n">
        <f aca="false">K8-K9-K10</f>
        <v>1548.53295166314</v>
      </c>
      <c r="L11" s="13" t="n">
        <f aca="false">L8-L9-L10</f>
        <v>1693.76692146658</v>
      </c>
      <c r="M11" s="13" t="n">
        <f aca="false">M8-M9-M10</f>
        <v>1742.69413658328</v>
      </c>
      <c r="N11" s="13" t="n">
        <f aca="false">SUM(B11:M11)</f>
        <v>23252.7297080948</v>
      </c>
    </row>
    <row r="12" customFormat="false" ht="15" hidden="false" customHeight="false" outlineLevel="0" collapsed="false">
      <c r="A12" s="5" t="s">
        <v>13</v>
      </c>
      <c r="B12" s="47" t="n">
        <f aca="false">IFERROR(B11/B8,0)</f>
        <v>0.319806965840426</v>
      </c>
      <c r="C12" s="47" t="n">
        <f aca="false">IFERROR(C11/C8,0)</f>
        <v>0.319806965840427</v>
      </c>
      <c r="D12" s="47" t="n">
        <f aca="false">IFERROR(D11/D8,0)</f>
        <v>0.278626408960109</v>
      </c>
      <c r="E12" s="47" t="n">
        <f aca="false">IFERROR(E11/E8,0)</f>
        <v>0.247172093941722</v>
      </c>
      <c r="F12" s="47" t="n">
        <f aca="false">IFERROR(F11/F8,0)</f>
        <v>0.222982654885807</v>
      </c>
      <c r="G12" s="47" t="n">
        <f aca="false">IFERROR(G11/G8,0)</f>
        <v>0.203852203491474</v>
      </c>
      <c r="H12" s="47" t="n">
        <f aca="false">IFERROR(H11/H8,0)</f>
        <v>0.187962708026635</v>
      </c>
      <c r="I12" s="47" t="n">
        <f aca="false">IFERROR(I11/I8,0)</f>
        <v>0.175973388399052</v>
      </c>
      <c r="J12" s="47" t="n">
        <f aca="false">IFERROR(J11/J8,0)</f>
        <v>0.166313717237444</v>
      </c>
      <c r="K12" s="47" t="n">
        <f aca="false">IFERROR(K11/K8,0)</f>
        <v>0.157201571395022</v>
      </c>
      <c r="L12" s="47" t="n">
        <f aca="false">IFERROR(L11/L8,0)</f>
        <v>0.150131707531227</v>
      </c>
      <c r="M12" s="47" t="n">
        <f aca="false">IFERROR(M11/M8,0)</f>
        <v>0.143648785216697</v>
      </c>
      <c r="N12" s="49" t="n">
        <f aca="false">IFERROR(N11/N8,0)</f>
        <v>0.208795172346146</v>
      </c>
    </row>
    <row r="13" customFormat="false" ht="15" hidden="false" customHeight="false" outlineLevel="0" collapsed="false">
      <c r="A13" s="5" t="s">
        <v>272</v>
      </c>
      <c r="B13" s="38" t="n">
        <f aca="false">Demanda!B16*Supuestos!$C$25</f>
        <v>372.551335968379</v>
      </c>
      <c r="C13" s="38" t="n">
        <f aca="false">Demanda!C16*Supuestos!$C$25</f>
        <v>528.104814545455</v>
      </c>
      <c r="D13" s="38" t="n">
        <f aca="false">Demanda!D16*Supuestos!$C$25</f>
        <v>226.005906174163</v>
      </c>
      <c r="E13" s="38" t="n">
        <f aca="false">Demanda!E16*Supuestos!$C$25</f>
        <v>307.555342430545</v>
      </c>
      <c r="F13" s="38" t="n">
        <f aca="false">Demanda!F16*Supuestos!$C$25</f>
        <v>277.616397726589</v>
      </c>
      <c r="G13" s="38" t="n">
        <f aca="false">Demanda!G16*Supuestos!$C$25</f>
        <v>296.551114531355</v>
      </c>
      <c r="H13" s="38" t="n">
        <f aca="false">Demanda!H16*Supuestos!$C$25</f>
        <v>380.248335983679</v>
      </c>
      <c r="I13" s="38" t="n">
        <f aca="false">Demanda!I16*Supuestos!$C$25</f>
        <v>335.375762350281</v>
      </c>
      <c r="J13" s="38" t="n">
        <f aca="false">Demanda!J16*Supuestos!$C$25</f>
        <v>272.253571959888</v>
      </c>
      <c r="K13" s="38" t="n">
        <f aca="false">Demanda!K16*Supuestos!$C$25</f>
        <v>307.231527837988</v>
      </c>
      <c r="L13" s="38" t="n">
        <f aca="false">Demanda!L16*Supuestos!$C$25</f>
        <v>344.409684270711</v>
      </c>
      <c r="M13" s="38" t="n">
        <f aca="false">Demanda!M16*Supuestos!$C$25</f>
        <v>362.993670169089</v>
      </c>
      <c r="N13" s="10" t="n">
        <f aca="false">SUM(B13:M13)</f>
        <v>4010.89746394812</v>
      </c>
    </row>
    <row r="14" customFormat="false" ht="15" hidden="false" customHeight="false" outlineLevel="0" collapsed="false">
      <c r="A14" s="5" t="s">
        <v>273</v>
      </c>
      <c r="B14" s="38" t="n">
        <f aca="false">Demanda!B9</f>
        <v>4000</v>
      </c>
      <c r="C14" s="38" t="n">
        <f aca="false">Demanda!C9</f>
        <v>4000</v>
      </c>
      <c r="D14" s="38" t="n">
        <f aca="false">Demanda!D9</f>
        <v>4000</v>
      </c>
      <c r="E14" s="38" t="n">
        <f aca="false">Demanda!E9</f>
        <v>4000</v>
      </c>
      <c r="F14" s="38" t="n">
        <f aca="false">Demanda!F9</f>
        <v>4000</v>
      </c>
      <c r="G14" s="38" t="n">
        <f aca="false">Demanda!G9</f>
        <v>4000</v>
      </c>
      <c r="H14" s="38" t="n">
        <f aca="false">Demanda!H9</f>
        <v>4000</v>
      </c>
      <c r="I14" s="38" t="n">
        <f aca="false">Demanda!I9</f>
        <v>4000</v>
      </c>
      <c r="J14" s="38" t="n">
        <f aca="false">Demanda!J9</f>
        <v>4000</v>
      </c>
      <c r="K14" s="38" t="n">
        <f aca="false">Demanda!K9</f>
        <v>4000</v>
      </c>
      <c r="L14" s="38" t="n">
        <f aca="false">Demanda!L9</f>
        <v>4000</v>
      </c>
      <c r="M14" s="38" t="n">
        <f aca="false">Demanda!M9</f>
        <v>4000</v>
      </c>
      <c r="N14" s="10" t="n">
        <f aca="false">SUM(B14:M14)</f>
        <v>48000</v>
      </c>
    </row>
    <row r="15" customFormat="false" ht="15" hidden="false" customHeight="false" outlineLevel="0" collapsed="false">
      <c r="A15" s="5" t="s">
        <v>274</v>
      </c>
      <c r="B15" s="38" t="n">
        <f aca="false">Supuestos!$C$26</f>
        <v>6000</v>
      </c>
      <c r="C15" s="38" t="n">
        <f aca="false">Supuestos!$C$26</f>
        <v>6000</v>
      </c>
      <c r="D15" s="38" t="n">
        <f aca="false">Supuestos!$C$26</f>
        <v>6000</v>
      </c>
      <c r="E15" s="38" t="n">
        <f aca="false">Supuestos!$C$26</f>
        <v>6000</v>
      </c>
      <c r="F15" s="38" t="n">
        <f aca="false">Supuestos!$C$26</f>
        <v>6000</v>
      </c>
      <c r="G15" s="38" t="n">
        <f aca="false">Supuestos!$C$26</f>
        <v>6000</v>
      </c>
      <c r="H15" s="38" t="n">
        <f aca="false">Supuestos!$C$26</f>
        <v>6000</v>
      </c>
      <c r="I15" s="38" t="n">
        <f aca="false">Supuestos!$C$26</f>
        <v>6000</v>
      </c>
      <c r="J15" s="38" t="n">
        <f aca="false">Supuestos!$C$26</f>
        <v>6000</v>
      </c>
      <c r="K15" s="38" t="n">
        <f aca="false">Supuestos!$C$26</f>
        <v>6000</v>
      </c>
      <c r="L15" s="38" t="n">
        <f aca="false">Supuestos!$C$26</f>
        <v>6000</v>
      </c>
      <c r="M15" s="38" t="n">
        <f aca="false">Supuestos!$C$26</f>
        <v>6000</v>
      </c>
      <c r="N15" s="10" t="n">
        <f aca="false">SUM(B15:M15)</f>
        <v>72000</v>
      </c>
    </row>
    <row r="16" customFormat="false" ht="15" hidden="false" customHeight="false" outlineLevel="0" collapsed="false">
      <c r="A16" s="5" t="s">
        <v>275</v>
      </c>
      <c r="B16" s="38" t="n">
        <f aca="false">Inversión!$D$10/(Supuestos!$C$27*12)</f>
        <v>1555.55555555556</v>
      </c>
      <c r="C16" s="38" t="n">
        <f aca="false">Inversión!$D$10/(Supuestos!$C$27*12)</f>
        <v>1555.55555555556</v>
      </c>
      <c r="D16" s="38" t="n">
        <f aca="false">Inversión!$D$10/(Supuestos!$C$27*12)</f>
        <v>1555.55555555556</v>
      </c>
      <c r="E16" s="38" t="n">
        <f aca="false">Inversión!$D$10/(Supuestos!$C$27*12)</f>
        <v>1555.55555555556</v>
      </c>
      <c r="F16" s="38" t="n">
        <f aca="false">Inversión!$D$10/(Supuestos!$C$27*12)</f>
        <v>1555.55555555556</v>
      </c>
      <c r="G16" s="38" t="n">
        <f aca="false">Inversión!$D$10/(Supuestos!$C$27*12)</f>
        <v>1555.55555555556</v>
      </c>
      <c r="H16" s="38" t="n">
        <f aca="false">Inversión!$D$10/(Supuestos!$C$27*12)</f>
        <v>1555.55555555556</v>
      </c>
      <c r="I16" s="38" t="n">
        <f aca="false">Inversión!$D$10/(Supuestos!$C$27*12)</f>
        <v>1555.55555555556</v>
      </c>
      <c r="J16" s="38" t="n">
        <f aca="false">Inversión!$D$10/(Supuestos!$C$27*12)</f>
        <v>1555.55555555556</v>
      </c>
      <c r="K16" s="38" t="n">
        <f aca="false">Inversión!$D$10/(Supuestos!$C$27*12)</f>
        <v>1555.55555555556</v>
      </c>
      <c r="L16" s="38" t="n">
        <f aca="false">Inversión!$D$10/(Supuestos!$C$27*12)</f>
        <v>1555.55555555556</v>
      </c>
      <c r="M16" s="38" t="n">
        <f aca="false">Inversión!$D$10/(Supuestos!$C$27*12)</f>
        <v>1555.55555555556</v>
      </c>
      <c r="N16" s="10" t="n">
        <f aca="false">SUM(B16:M16)</f>
        <v>18666.6666666667</v>
      </c>
    </row>
    <row r="17" customFormat="false" ht="15" hidden="false" customHeight="false" outlineLevel="0" collapsed="false">
      <c r="A17" s="12" t="s">
        <v>15</v>
      </c>
      <c r="B17" s="13" t="n">
        <f aca="false">B11-B13-B14-B15-B16</f>
        <v>-9360.33722825142</v>
      </c>
      <c r="C17" s="13" t="n">
        <f aca="false">C11-C13-C14-C15-C16</f>
        <v>-8443.75523248241</v>
      </c>
      <c r="D17" s="13" t="n">
        <f aca="false">D11-D13-D14-D15-D16</f>
        <v>-10301.5489817343</v>
      </c>
      <c r="E17" s="13" t="n">
        <f aca="false">E11-E13-E14-E15-E16</f>
        <v>-9943.69652223265</v>
      </c>
      <c r="F17" s="13" t="n">
        <f aca="false">F11-F13-F14-F15-F16</f>
        <v>-10175.4482069066</v>
      </c>
      <c r="G17" s="13" t="n">
        <f aca="false">G11-G13-G14-G15-G16</f>
        <v>-10151.7548897765</v>
      </c>
      <c r="H17" s="13" t="n">
        <f aca="false">H11-H13-H14-H15-H16</f>
        <v>-9837.78158917172</v>
      </c>
      <c r="I17" s="13" t="n">
        <f aca="false">I11-I13-I14-I15-I16</f>
        <v>-10099.5490401092</v>
      </c>
      <c r="J17" s="13" t="n">
        <f aca="false">J11-J13-J14-J15-J16</f>
        <v>-10414.6551926238</v>
      </c>
      <c r="K17" s="13" t="n">
        <f aca="false">K11-K13-K14-K15-K16</f>
        <v>-10314.2541317304</v>
      </c>
      <c r="L17" s="13" t="n">
        <f aca="false">L11-L13-L14-L15-L16</f>
        <v>-10206.1983183597</v>
      </c>
      <c r="M17" s="13" t="n">
        <f aca="false">M11-M13-M14-M15-M16</f>
        <v>-10175.8550891414</v>
      </c>
      <c r="N17" s="13" t="n">
        <f aca="false">SUM(B17:M17)</f>
        <v>-119424.83442252</v>
      </c>
    </row>
    <row r="18" customFormat="false" ht="15" hidden="false" customHeight="false" outlineLevel="0" collapsed="false">
      <c r="A18" s="5" t="s">
        <v>276</v>
      </c>
      <c r="B18" s="38" t="n">
        <f aca="false">B8*IF(B8&lt;=25000,0.01,IF(B8&lt;=50000,0.011,IF(B8&lt;=83333.33,0.015,IF(B8&lt;=208333.33,0.02,0.025))))</f>
        <v>80.2912362000818</v>
      </c>
      <c r="C18" s="38" t="n">
        <f aca="false">C8*IF(C8&lt;=25000,0.01,IF(C8&lt;=50000,0.011,IF(C8&lt;=83333.33,0.015,IF(C8&lt;=208333.33,0.02,0.025))))</f>
        <v>113.815692789969</v>
      </c>
      <c r="D18" s="38" t="n">
        <f aca="false">D8*IF(D8&lt;=25000,0.01,IF(D8&lt;=50000,0.011,IF(D8&lt;=83333.33,0.015,IF(D8&lt;=208333.33,0.02,0.025))))</f>
        <v>53.1181694340868</v>
      </c>
      <c r="E18" s="38" t="n">
        <f aca="false">E8*IF(E8&lt;=25000,0.01,IF(E8&lt;=50000,0.011,IF(E8&lt;=83333.33,0.015,IF(E8&lt;=208333.33,0.02,0.025))))</f>
        <v>77.6549789721003</v>
      </c>
      <c r="F18" s="38" t="n">
        <f aca="false">F8*IF(F8&lt;=25000,0.01,IF(F8&lt;=50000,0.011,IF(F8&lt;=83333.33,0.015,IF(F8&lt;=208333.33,0.02,0.025))))</f>
        <v>74.3431701996959</v>
      </c>
      <c r="G18" s="38" t="n">
        <f aca="false">G8*IF(G8&lt;=25000,0.01,IF(G8&lt;=50000,0.011,IF(G8&lt;=83333.33,0.015,IF(G8&lt;=208333.33,0.02,0.025))))</f>
        <v>83.4110081317574</v>
      </c>
      <c r="H18" s="38" t="n">
        <f aca="false">H8*IF(H8&lt;=25000,0.01,IF(H8&lt;=50000,0.011,IF(H8&lt;=83333.33,0.015,IF(H8&lt;=208333.33,0.02,0.025))))</f>
        <v>111.619071910276</v>
      </c>
      <c r="I18" s="38" t="n">
        <f aca="false">I8*IF(I8&lt;=25000,0.01,IF(I8&lt;=50000,0.011,IF(I8&lt;=83333.33,0.015,IF(I8&lt;=208333.33,0.02,0.025))))</f>
        <v>101.798476127216</v>
      </c>
      <c r="J18" s="38" t="n">
        <f aca="false">J8*IF(J8&lt;=25000,0.01,IF(J8&lt;=50000,0.011,IF(J8&lt;=83333.33,0.015,IF(J8&lt;=208333.33,0.02,0.025))))</f>
        <v>84.9691750244587</v>
      </c>
      <c r="K18" s="38" t="n">
        <f aca="false">K8*IF(K8&lt;=25000,0.01,IF(K8&lt;=50000,0.011,IF(K8&lt;=83333.33,0.015,IF(K8&lt;=208333.33,0.02,0.025))))</f>
        <v>98.5062005373939</v>
      </c>
      <c r="L18" s="38" t="n">
        <f aca="false">L8*IF(L8&lt;=25000,0.01,IF(L8&lt;=50000,0.011,IF(L8&lt;=83333.33,0.015,IF(L8&lt;=208333.33,0.02,0.025))))</f>
        <v>112.818734251343</v>
      </c>
      <c r="M18" s="38" t="n">
        <f aca="false">M8*IF(M8&lt;=25000,0.01,IF(M8&lt;=50000,0.011,IF(M8&lt;=83333.33,0.015,IF(M8&lt;=208333.33,0.02,0.025))))</f>
        <v>121.316315620378</v>
      </c>
      <c r="N18" s="10" t="n">
        <f aca="false">SUM(B18:M18)</f>
        <v>1113.66222919876</v>
      </c>
    </row>
    <row r="19" customFormat="false" ht="15" hidden="false" customHeight="false" outlineLevel="0" collapsed="false">
      <c r="A19" s="12" t="s">
        <v>18</v>
      </c>
      <c r="B19" s="13" t="n">
        <f aca="false">B17-B18</f>
        <v>-9440.6284644515</v>
      </c>
      <c r="C19" s="13" t="n">
        <f aca="false">C17-C18</f>
        <v>-8557.57092527238</v>
      </c>
      <c r="D19" s="13" t="n">
        <f aca="false">D17-D18</f>
        <v>-10354.6671511684</v>
      </c>
      <c r="E19" s="13" t="n">
        <f aca="false">E17-E18</f>
        <v>-10021.3515012048</v>
      </c>
      <c r="F19" s="13" t="n">
        <f aca="false">F17-F18</f>
        <v>-10249.7913771063</v>
      </c>
      <c r="G19" s="13" t="n">
        <f aca="false">G17-G18</f>
        <v>-10235.1658979083</v>
      </c>
      <c r="H19" s="13" t="n">
        <f aca="false">H17-H18</f>
        <v>-9949.400661082</v>
      </c>
      <c r="I19" s="13" t="n">
        <f aca="false">I17-I18</f>
        <v>-10201.3475162364</v>
      </c>
      <c r="J19" s="13" t="n">
        <f aca="false">J17-J18</f>
        <v>-10499.6243676482</v>
      </c>
      <c r="K19" s="13" t="n">
        <f aca="false">K17-K18</f>
        <v>-10412.7603322678</v>
      </c>
      <c r="L19" s="13" t="n">
        <f aca="false">L17-L18</f>
        <v>-10319.017052611</v>
      </c>
      <c r="M19" s="13" t="n">
        <f aca="false">M17-M18</f>
        <v>-10297.1714047617</v>
      </c>
      <c r="N19" s="13" t="n">
        <f aca="false">SUM(B19:M19)</f>
        <v>-120538.496651719</v>
      </c>
    </row>
    <row r="20" customFormat="false" ht="15" hidden="false" customHeight="false" outlineLevel="0" collapsed="false">
      <c r="A20" s="5" t="s">
        <v>277</v>
      </c>
      <c r="B20" s="38" t="n">
        <f aca="false">MAX(0,B17)*Supuestos!$C$29</f>
        <v>0</v>
      </c>
      <c r="C20" s="38" t="n">
        <f aca="false">MAX(0,C17)*Supuestos!$C$29</f>
        <v>0</v>
      </c>
      <c r="D20" s="38" t="n">
        <f aca="false">MAX(0,D17)*Supuestos!$C$29</f>
        <v>0</v>
      </c>
      <c r="E20" s="38" t="n">
        <f aca="false">MAX(0,E17)*Supuestos!$C$29</f>
        <v>0</v>
      </c>
      <c r="F20" s="38" t="n">
        <f aca="false">MAX(0,F17)*Supuestos!$C$29</f>
        <v>0</v>
      </c>
      <c r="G20" s="38" t="n">
        <f aca="false">MAX(0,G17)*Supuestos!$C$29</f>
        <v>0</v>
      </c>
      <c r="H20" s="38" t="n">
        <f aca="false">MAX(0,H17)*Supuestos!$C$29</f>
        <v>0</v>
      </c>
      <c r="I20" s="38" t="n">
        <f aca="false">MAX(0,I17)*Supuestos!$C$29</f>
        <v>0</v>
      </c>
      <c r="J20" s="38" t="n">
        <f aca="false">MAX(0,J17)*Supuestos!$C$29</f>
        <v>0</v>
      </c>
      <c r="K20" s="38" t="n">
        <f aca="false">MAX(0,K17)*Supuestos!$C$29</f>
        <v>0</v>
      </c>
      <c r="L20" s="38" t="n">
        <f aca="false">MAX(0,L17)*Supuestos!$C$29</f>
        <v>0</v>
      </c>
      <c r="M20" s="38" t="n">
        <f aca="false">MAX(0,M17)*Supuestos!$C$29</f>
        <v>0</v>
      </c>
      <c r="N20" s="10" t="n">
        <f aca="false">SUM(B20:M20)</f>
        <v>0</v>
      </c>
    </row>
    <row r="21" customFormat="false" ht="15" hidden="false" customHeight="false" outlineLevel="0" collapsed="false">
      <c r="A21" s="9" t="s">
        <v>97</v>
      </c>
      <c r="B21" s="10" t="n">
        <f aca="false">MAX(0,B17)*Supuestos!$C$30</f>
        <v>0</v>
      </c>
      <c r="C21" s="10" t="n">
        <f aca="false">MAX(0,C17)*Supuestos!$C$30</f>
        <v>0</v>
      </c>
      <c r="D21" s="10" t="n">
        <f aca="false">MAX(0,D17)*Supuestos!$C$30</f>
        <v>0</v>
      </c>
      <c r="E21" s="10" t="n">
        <f aca="false">MAX(0,E17)*Supuestos!$C$30</f>
        <v>0</v>
      </c>
      <c r="F21" s="10" t="n">
        <f aca="false">MAX(0,F17)*Supuestos!$C$30</f>
        <v>0</v>
      </c>
      <c r="G21" s="10" t="n">
        <f aca="false">MAX(0,G17)*Supuestos!$C$30</f>
        <v>0</v>
      </c>
      <c r="H21" s="10" t="n">
        <f aca="false">MAX(0,H17)*Supuestos!$C$30</f>
        <v>0</v>
      </c>
      <c r="I21" s="10" t="n">
        <f aca="false">MAX(0,I17)*Supuestos!$C$30</f>
        <v>0</v>
      </c>
      <c r="J21" s="10" t="n">
        <f aca="false">MAX(0,J17)*Supuestos!$C$30</f>
        <v>0</v>
      </c>
      <c r="K21" s="10" t="n">
        <f aca="false">MAX(0,K17)*Supuestos!$C$30</f>
        <v>0</v>
      </c>
      <c r="L21" s="10" t="n">
        <f aca="false">MAX(0,L17)*Supuestos!$C$30</f>
        <v>0</v>
      </c>
      <c r="M21" s="10" t="n">
        <f aca="false">MAX(0,M17)*Supuestos!$C$30</f>
        <v>0</v>
      </c>
      <c r="N21" s="10" t="n">
        <f aca="false">SUM(B21:M21)</f>
        <v>0</v>
      </c>
    </row>
    <row r="22" customFormat="false" ht="15" hidden="false" customHeight="false" outlineLevel="0" collapsed="false">
      <c r="A22" s="12" t="s">
        <v>278</v>
      </c>
      <c r="B22" s="13" t="n">
        <f aca="false">B17-B20-B21</f>
        <v>-9360.33722825142</v>
      </c>
      <c r="C22" s="13" t="n">
        <f aca="false">C17-C20-C21</f>
        <v>-8443.75523248241</v>
      </c>
      <c r="D22" s="13" t="n">
        <f aca="false">D17-D20-D21</f>
        <v>-10301.5489817343</v>
      </c>
      <c r="E22" s="13" t="n">
        <f aca="false">E17-E20-E21</f>
        <v>-9943.69652223265</v>
      </c>
      <c r="F22" s="13" t="n">
        <f aca="false">F17-F20-F21</f>
        <v>-10175.4482069066</v>
      </c>
      <c r="G22" s="13" t="n">
        <f aca="false">G17-G20-G21</f>
        <v>-10151.7548897765</v>
      </c>
      <c r="H22" s="13" t="n">
        <f aca="false">H17-H20-H21</f>
        <v>-9837.78158917172</v>
      </c>
      <c r="I22" s="13" t="n">
        <f aca="false">I17-I20-I21</f>
        <v>-10099.5490401092</v>
      </c>
      <c r="J22" s="13" t="n">
        <f aca="false">J17-J20-J21</f>
        <v>-10414.6551926238</v>
      </c>
      <c r="K22" s="13" t="n">
        <f aca="false">K17-K20-K21</f>
        <v>-10314.2541317304</v>
      </c>
      <c r="L22" s="13" t="n">
        <f aca="false">L17-L20-L21</f>
        <v>-10206.1983183597</v>
      </c>
      <c r="M22" s="13" t="n">
        <f aca="false">M17-M20-M21</f>
        <v>-10175.8550891414</v>
      </c>
      <c r="N22" s="13" t="n">
        <f aca="false">SUM(B22:M22)</f>
        <v>-119424.83442252</v>
      </c>
    </row>
    <row r="23" customFormat="false" ht="15" hidden="false" customHeight="false" outlineLevel="0" collapsed="false">
      <c r="A23" s="5" t="s">
        <v>279</v>
      </c>
      <c r="N23" s="9" t="str">
        <f aca="false">IF(N8&lt;=3500000,"Dentro del límite","Rebasa el límite")</f>
        <v>Dentro del límite</v>
      </c>
    </row>
    <row r="24" customFormat="false" ht="15" hidden="false" customHeight="false" outlineLevel="0" collapsed="false">
      <c r="A24" s="5" t="s">
        <v>280</v>
      </c>
      <c r="B24" s="38" t="n">
        <f aca="false">SUM($B17:B17)</f>
        <v>-9360.33722825142</v>
      </c>
      <c r="C24" s="38" t="n">
        <f aca="false">SUM($B17:C17)</f>
        <v>-17804.0924607338</v>
      </c>
      <c r="D24" s="38" t="n">
        <f aca="false">SUM($B17:D17)</f>
        <v>-28105.6414424681</v>
      </c>
      <c r="E24" s="38" t="n">
        <f aca="false">SUM($B17:E17)</f>
        <v>-38049.3379647008</v>
      </c>
      <c r="F24" s="38" t="n">
        <f aca="false">SUM($B17:F17)</f>
        <v>-48224.7861716074</v>
      </c>
      <c r="G24" s="38" t="n">
        <f aca="false">SUM($B17:G17)</f>
        <v>-58376.5410613839</v>
      </c>
      <c r="H24" s="38" t="n">
        <f aca="false">SUM($B17:H17)</f>
        <v>-68214.3226505556</v>
      </c>
      <c r="I24" s="38" t="n">
        <f aca="false">SUM($B17:I17)</f>
        <v>-78313.8716906648</v>
      </c>
      <c r="J24" s="38" t="n">
        <f aca="false">SUM($B17:J17)</f>
        <v>-88728.5268832886</v>
      </c>
      <c r="K24" s="38" t="n">
        <f aca="false">SUM($B17:K17)</f>
        <v>-99042.781015019</v>
      </c>
      <c r="L24" s="38" t="n">
        <f aca="false">SUM($B17:L17)</f>
        <v>-109248.979333379</v>
      </c>
      <c r="M24" s="38" t="n">
        <f aca="false">SUM($B17:M17)</f>
        <v>-119424.83442252</v>
      </c>
    </row>
    <row r="28" customFormat="false" ht="15" hidden="false" customHeight="false" outlineLevel="0" collapsed="false">
      <c r="A28" s="35" t="s">
        <v>188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</row>
    <row r="29" customFormat="false" ht="21.75" hidden="false" customHeight="true" outlineLevel="0" collapsed="false">
      <c r="A29" s="3" t="s">
        <v>169</v>
      </c>
      <c r="B29" s="4" t="s">
        <v>114</v>
      </c>
      <c r="C29" s="4" t="s">
        <v>116</v>
      </c>
      <c r="D29" s="4" t="s">
        <v>118</v>
      </c>
      <c r="E29" s="4" t="s">
        <v>120</v>
      </c>
      <c r="F29" s="4" t="s">
        <v>122</v>
      </c>
      <c r="G29" s="4" t="s">
        <v>123</v>
      </c>
      <c r="H29" s="4" t="s">
        <v>124</v>
      </c>
      <c r="I29" s="4" t="s">
        <v>126</v>
      </c>
      <c r="J29" s="4" t="s">
        <v>128</v>
      </c>
      <c r="K29" s="4" t="s">
        <v>130</v>
      </c>
      <c r="L29" s="4" t="s">
        <v>132</v>
      </c>
      <c r="M29" s="4" t="s">
        <v>134</v>
      </c>
      <c r="N29" s="4" t="s">
        <v>170</v>
      </c>
    </row>
    <row r="30" customFormat="false" ht="15" hidden="false" customHeight="false" outlineLevel="0" collapsed="false">
      <c r="A30" s="5" t="s">
        <v>267</v>
      </c>
      <c r="B30" s="38" t="n">
        <f aca="false">Demanda!B37</f>
        <v>19715.5504894612</v>
      </c>
      <c r="C30" s="38" t="n">
        <f aca="false">Demanda!C37</f>
        <v>28091.4525</v>
      </c>
      <c r="D30" s="38" t="n">
        <f aca="false">Demanda!D37</f>
        <v>12580.2194791582</v>
      </c>
      <c r="E30" s="38" t="n">
        <f aca="false">Demanda!E37</f>
        <v>17252.36791323</v>
      </c>
      <c r="F30" s="38" t="n">
        <f aca="false">Demanda!F37</f>
        <v>15793.2811300527</v>
      </c>
      <c r="G30" s="38" t="n">
        <f aca="false">Demanda!G37</f>
        <v>17111.5852583857</v>
      </c>
      <c r="H30" s="38" t="n">
        <f aca="false">Demanda!H37</f>
        <v>22149.215177811</v>
      </c>
      <c r="I30" s="38" t="n">
        <f aca="false">Demanda!I37</f>
        <v>19917.2740921937</v>
      </c>
      <c r="J30" s="38" t="n">
        <f aca="false">Demanda!J37</f>
        <v>16487.1928783368</v>
      </c>
      <c r="K30" s="38" t="n">
        <f aca="false">Demanda!K37</f>
        <v>18789.0783583204</v>
      </c>
      <c r="L30" s="38" t="n">
        <f aca="false">Demanda!L37</f>
        <v>21378.1881892529</v>
      </c>
      <c r="M30" s="38" t="n">
        <f aca="false">Demanda!M37</f>
        <v>22781.2853745472</v>
      </c>
      <c r="N30" s="10" t="n">
        <f aca="false">SUM(B30:M30)</f>
        <v>232046.69084075</v>
      </c>
    </row>
    <row r="31" customFormat="false" ht="15" hidden="false" customHeight="false" outlineLevel="0" collapsed="false">
      <c r="A31" s="5" t="s">
        <v>268</v>
      </c>
      <c r="B31" s="38" t="n">
        <f aca="false">Demanda!B41</f>
        <v>0</v>
      </c>
      <c r="C31" s="38" t="n">
        <f aca="false">Demanda!C41</f>
        <v>0</v>
      </c>
      <c r="D31" s="38" t="n">
        <f aca="false">Demanda!D41</f>
        <v>1680</v>
      </c>
      <c r="E31" s="38" t="n">
        <f aca="false">Demanda!E41</f>
        <v>4400.4</v>
      </c>
      <c r="F31" s="38" t="n">
        <f aca="false">Demanda!F41</f>
        <v>5701.596</v>
      </c>
      <c r="G31" s="38" t="n">
        <f aca="false">Demanda!G41</f>
        <v>7774.39512</v>
      </c>
      <c r="H31" s="38" t="n">
        <f aca="false">Demanda!H41</f>
        <v>11998.5728676</v>
      </c>
      <c r="I31" s="38" t="n">
        <f aca="false">Demanda!I41</f>
        <v>12103.19371032</v>
      </c>
      <c r="J31" s="38" t="n">
        <f aca="false">Demanda!J41</f>
        <v>10924.7761204781</v>
      </c>
      <c r="K31" s="38" t="n">
        <f aca="false">Demanda!K41</f>
        <v>13590.0470160502</v>
      </c>
      <c r="L31" s="38" t="n">
        <f aca="false">Demanda!L41</f>
        <v>16443.0485832519</v>
      </c>
      <c r="M31" s="38" t="n">
        <f aca="false">Demanda!M41</f>
        <v>18576.6369415455</v>
      </c>
      <c r="N31" s="10" t="n">
        <f aca="false">SUM(B31:M31)</f>
        <v>103192.666359246</v>
      </c>
    </row>
    <row r="32" customFormat="false" ht="15" hidden="false" customHeight="false" outlineLevel="0" collapsed="false">
      <c r="A32" s="9" t="s">
        <v>269</v>
      </c>
      <c r="B32" s="10" t="n">
        <f aca="false">B30+B31</f>
        <v>19715.5504894612</v>
      </c>
      <c r="C32" s="10" t="n">
        <f aca="false">C30+C31</f>
        <v>28091.4525</v>
      </c>
      <c r="D32" s="10" t="n">
        <f aca="false">D30+D31</f>
        <v>14260.2194791582</v>
      </c>
      <c r="E32" s="10" t="n">
        <f aca="false">E30+E31</f>
        <v>21652.76791323</v>
      </c>
      <c r="F32" s="10" t="n">
        <f aca="false">F30+F31</f>
        <v>21494.8771300527</v>
      </c>
      <c r="G32" s="10" t="n">
        <f aca="false">G30+G31</f>
        <v>24885.9803783857</v>
      </c>
      <c r="H32" s="10" t="n">
        <f aca="false">H30+H31</f>
        <v>34147.788045411</v>
      </c>
      <c r="I32" s="10" t="n">
        <f aca="false">I30+I31</f>
        <v>32020.4678025137</v>
      </c>
      <c r="J32" s="10" t="n">
        <f aca="false">J30+J31</f>
        <v>27411.9689988149</v>
      </c>
      <c r="K32" s="10" t="n">
        <f aca="false">K30+K31</f>
        <v>32379.1253743706</v>
      </c>
      <c r="L32" s="10" t="n">
        <f aca="false">L30+L31</f>
        <v>37821.2367725048</v>
      </c>
      <c r="M32" s="10" t="n">
        <f aca="false">M30+M31</f>
        <v>41357.9223160927</v>
      </c>
      <c r="N32" s="10" t="n">
        <f aca="false">SUM(B32:M32)</f>
        <v>335239.357199995</v>
      </c>
    </row>
    <row r="33" customFormat="false" ht="15" hidden="false" customHeight="false" outlineLevel="0" collapsed="false">
      <c r="A33" s="5" t="s">
        <v>270</v>
      </c>
      <c r="B33" s="38" t="n">
        <f aca="false">B30*Costos!$B$19*Supuestos!$D$18</f>
        <v>11661.2000935242</v>
      </c>
      <c r="C33" s="38" t="n">
        <f aca="false">C30*Costos!$B$19*Supuestos!$D$18</f>
        <v>16615.3133129779</v>
      </c>
      <c r="D33" s="38" t="n">
        <f aca="false">D30*Costos!$B$19*Supuestos!$D$18</f>
        <v>7440.85013732347</v>
      </c>
      <c r="E33" s="38" t="n">
        <f aca="false">E30*Costos!$B$19*Supuestos!$D$18</f>
        <v>10204.2960672497</v>
      </c>
      <c r="F33" s="38" t="n">
        <f aca="false">F30*Costos!$B$19*Supuestos!$D$18</f>
        <v>9341.28679233539</v>
      </c>
      <c r="G33" s="38" t="n">
        <f aca="false">G30*Costos!$B$19*Supuestos!$D$18</f>
        <v>10121.0270401579</v>
      </c>
      <c r="H33" s="38" t="n">
        <f aca="false">H30*Costos!$B$19*Supuestos!$D$18</f>
        <v>13100.6451096074</v>
      </c>
      <c r="I33" s="38" t="n">
        <f aca="false">I30*Costos!$B$19*Supuestos!$D$18</f>
        <v>11780.513997354</v>
      </c>
      <c r="J33" s="38" t="n">
        <f aca="false">J30*Costos!$B$19*Supuestos!$D$18</f>
        <v>9751.7163032087</v>
      </c>
      <c r="K33" s="38" t="n">
        <f aca="false">K30*Costos!$B$19*Supuestos!$D$18</f>
        <v>11113.2175805286</v>
      </c>
      <c r="L33" s="38" t="n">
        <f aca="false">L30*Costos!$B$19*Supuestos!$D$18</f>
        <v>12644.6040776368</v>
      </c>
      <c r="M33" s="38" t="n">
        <f aca="false">M30*Costos!$B$19*Supuestos!$D$18</f>
        <v>13474.4970617116</v>
      </c>
      <c r="N33" s="10" t="n">
        <f aca="false">SUM(B33:M33)</f>
        <v>137249.167573616</v>
      </c>
    </row>
    <row r="34" customFormat="false" ht="15" hidden="false" customHeight="false" outlineLevel="0" collapsed="false">
      <c r="A34" s="5" t="s">
        <v>271</v>
      </c>
      <c r="B34" s="38" t="n">
        <f aca="false">B31*Costos!$B$20*Supuestos!$D$18</f>
        <v>0</v>
      </c>
      <c r="C34" s="38" t="n">
        <f aca="false">C31*Costos!$B$20*Supuestos!$D$18</f>
        <v>0</v>
      </c>
      <c r="D34" s="38" t="n">
        <f aca="false">D31*Costos!$B$20*Supuestos!$D$18</f>
        <v>1718.28971541283</v>
      </c>
      <c r="E34" s="38" t="n">
        <f aca="false">E31*Costos!$B$20*Supuestos!$D$18</f>
        <v>4500.69170458488</v>
      </c>
      <c r="F34" s="38" t="n">
        <f aca="false">F31*Costos!$B$20*Supuestos!$D$18</f>
        <v>5831.54390966602</v>
      </c>
      <c r="G34" s="38" t="n">
        <f aca="false">G31*Costos!$B$20*Supuestos!$D$18</f>
        <v>7951.58522514981</v>
      </c>
      <c r="H34" s="38" t="n">
        <f aca="false">H31*Costos!$B$20*Supuestos!$D$18</f>
        <v>12272.0383083503</v>
      </c>
      <c r="I34" s="38" t="n">
        <f aca="false">I31*Costos!$B$20*Supuestos!$D$18</f>
        <v>12379.0436167215</v>
      </c>
      <c r="J34" s="38" t="n">
        <f aca="false">J31*Costos!$B$20*Supuestos!$D$18</f>
        <v>11173.7681255983</v>
      </c>
      <c r="K34" s="38" t="n">
        <f aca="false">K31*Costos!$B$20*Supuestos!$D$18</f>
        <v>13899.7845355094</v>
      </c>
      <c r="L34" s="38" t="n">
        <f aca="false">L31*Costos!$B$20*Supuestos!$D$18</f>
        <v>16817.81028014</v>
      </c>
      <c r="M34" s="38" t="n">
        <f aca="false">M31*Costos!$B$20*Supuestos!$D$18</f>
        <v>19000.0263116759</v>
      </c>
      <c r="N34" s="10" t="n">
        <f aca="false">SUM(B34:M34)</f>
        <v>105544.581732809</v>
      </c>
    </row>
    <row r="35" customFormat="false" ht="15" hidden="false" customHeight="false" outlineLevel="0" collapsed="false">
      <c r="A35" s="12" t="s">
        <v>12</v>
      </c>
      <c r="B35" s="13" t="n">
        <f aca="false">B32-B33-B34</f>
        <v>8054.35039593694</v>
      </c>
      <c r="C35" s="13" t="n">
        <f aca="false">C32-C33-C34</f>
        <v>11476.1391870221</v>
      </c>
      <c r="D35" s="13" t="n">
        <f aca="false">D32-D33-D34</f>
        <v>5101.07962642191</v>
      </c>
      <c r="E35" s="13" t="n">
        <f aca="false">E32-E33-E34</f>
        <v>6947.78014139538</v>
      </c>
      <c r="F35" s="13" t="n">
        <f aca="false">F32-F33-F34</f>
        <v>6322.04642805131</v>
      </c>
      <c r="G35" s="13" t="n">
        <f aca="false">G32-G33-G34</f>
        <v>6813.36811307798</v>
      </c>
      <c r="H35" s="13" t="n">
        <f aca="false">H32-H33-H34</f>
        <v>8775.10462745329</v>
      </c>
      <c r="I35" s="13" t="n">
        <f aca="false">I32-I33-I34</f>
        <v>7860.91018843823</v>
      </c>
      <c r="J35" s="13" t="n">
        <f aca="false">J32-J33-J34</f>
        <v>6486.48457000786</v>
      </c>
      <c r="K35" s="13" t="n">
        <f aca="false">K32-K33-K34</f>
        <v>7366.12325833254</v>
      </c>
      <c r="L35" s="13" t="n">
        <f aca="false">L32-L33-L34</f>
        <v>8358.82241472803</v>
      </c>
      <c r="M35" s="13" t="n">
        <f aca="false">M32-M33-M34</f>
        <v>8883.3989427051</v>
      </c>
      <c r="N35" s="13" t="n">
        <f aca="false">SUM(B35:M35)</f>
        <v>92445.6078935707</v>
      </c>
    </row>
    <row r="36" customFormat="false" ht="15" hidden="false" customHeight="false" outlineLevel="0" collapsed="false">
      <c r="A36" s="5" t="s">
        <v>13</v>
      </c>
      <c r="B36" s="47" t="n">
        <f aca="false">IFERROR(B35/B32,0)</f>
        <v>0.40852779638298</v>
      </c>
      <c r="C36" s="47" t="n">
        <f aca="false">IFERROR(C35/C32,0)</f>
        <v>0.40852779638298</v>
      </c>
      <c r="D36" s="47" t="n">
        <f aca="false">IFERROR(D35/D32,0)</f>
        <v>0.357713963230181</v>
      </c>
      <c r="E36" s="47" t="n">
        <f aca="false">IFERROR(E35/E32,0)</f>
        <v>0.320872609415919</v>
      </c>
      <c r="F36" s="47" t="n">
        <f aca="false">IFERROR(F35/F32,0)</f>
        <v>0.294118751635581</v>
      </c>
      <c r="G36" s="47" t="n">
        <f aca="false">IFERROR(G35/G32,0)</f>
        <v>0.273783391672028</v>
      </c>
      <c r="H36" s="47" t="n">
        <f aca="false">IFERROR(H35/H32,0)</f>
        <v>0.256974320438672</v>
      </c>
      <c r="I36" s="47" t="n">
        <f aca="false">IFERROR(I35/I32,0)</f>
        <v>0.245496419256596</v>
      </c>
      <c r="J36" s="47" t="n">
        <f aca="false">IFERROR(J35/J32,0)</f>
        <v>0.236629647811447</v>
      </c>
      <c r="K36" s="47" t="n">
        <f aca="false">IFERROR(K35/K32,0)</f>
        <v>0.227496054114023</v>
      </c>
      <c r="L36" s="47" t="n">
        <f aca="false">IFERROR(L35/L32,0)</f>
        <v>0.221008701143393</v>
      </c>
      <c r="M36" s="47" t="n">
        <f aca="false">IFERROR(M35/M32,0)</f>
        <v>0.214793162838562</v>
      </c>
      <c r="N36" s="49" t="n">
        <f aca="false">IFERROR(N35/N32,0)</f>
        <v>0.275760008209358</v>
      </c>
    </row>
    <row r="37" customFormat="false" ht="15" hidden="false" customHeight="false" outlineLevel="0" collapsed="false">
      <c r="A37" s="5" t="s">
        <v>272</v>
      </c>
      <c r="B37" s="38" t="n">
        <f aca="false">Demanda!B36*Supuestos!$C$25</f>
        <v>914.801542710997</v>
      </c>
      <c r="C37" s="38" t="n">
        <f aca="false">Demanda!C36*Supuestos!$C$25</f>
        <v>1303.443396</v>
      </c>
      <c r="D37" s="38" t="n">
        <f aca="false">Demanda!D36*Supuestos!$C$25</f>
        <v>583.722183832941</v>
      </c>
      <c r="E37" s="38" t="n">
        <f aca="false">Demanda!E36*Supuestos!$C$25</f>
        <v>800.509871173871</v>
      </c>
      <c r="F37" s="38" t="n">
        <f aca="false">Demanda!F36*Supuestos!$C$25</f>
        <v>732.808244434446</v>
      </c>
      <c r="G37" s="38" t="n">
        <f aca="false">Demanda!G36*Supuestos!$C$25</f>
        <v>793.977555989096</v>
      </c>
      <c r="H37" s="38" t="n">
        <f aca="false">Demanda!H36*Supuestos!$C$25</f>
        <v>1027.72358425043</v>
      </c>
      <c r="I37" s="38" t="n">
        <f aca="false">Demanda!I36*Supuestos!$C$25</f>
        <v>924.161517877787</v>
      </c>
      <c r="J37" s="38" t="n">
        <f aca="false">Demanda!J36*Supuestos!$C$25</f>
        <v>765.005749554826</v>
      </c>
      <c r="K37" s="38" t="n">
        <f aca="false">Demanda!K36*Supuestos!$C$25</f>
        <v>871.813235826066</v>
      </c>
      <c r="L37" s="38" t="n">
        <f aca="false">Demanda!L36*Supuestos!$C$25</f>
        <v>991.947931981335</v>
      </c>
      <c r="M37" s="38" t="n">
        <f aca="false">Demanda!M36*Supuestos!$C$25</f>
        <v>1057.05164137899</v>
      </c>
      <c r="N37" s="10" t="n">
        <f aca="false">SUM(B37:M37)</f>
        <v>10766.9664550108</v>
      </c>
    </row>
    <row r="38" customFormat="false" ht="15" hidden="false" customHeight="false" outlineLevel="0" collapsed="false">
      <c r="A38" s="5" t="s">
        <v>273</v>
      </c>
      <c r="B38" s="38" t="n">
        <f aca="false">Demanda!B29</f>
        <v>6000</v>
      </c>
      <c r="C38" s="38" t="n">
        <f aca="false">Demanda!C29</f>
        <v>6000</v>
      </c>
      <c r="D38" s="38" t="n">
        <f aca="false">Demanda!D29</f>
        <v>6000</v>
      </c>
      <c r="E38" s="38" t="n">
        <f aca="false">Demanda!E29</f>
        <v>6000</v>
      </c>
      <c r="F38" s="38" t="n">
        <f aca="false">Demanda!F29</f>
        <v>6000</v>
      </c>
      <c r="G38" s="38" t="n">
        <f aca="false">Demanda!G29</f>
        <v>6000</v>
      </c>
      <c r="H38" s="38" t="n">
        <f aca="false">Demanda!H29</f>
        <v>6000</v>
      </c>
      <c r="I38" s="38" t="n">
        <f aca="false">Demanda!I29</f>
        <v>6000</v>
      </c>
      <c r="J38" s="38" t="n">
        <f aca="false">Demanda!J29</f>
        <v>6000</v>
      </c>
      <c r="K38" s="38" t="n">
        <f aca="false">Demanda!K29</f>
        <v>6000</v>
      </c>
      <c r="L38" s="38" t="n">
        <f aca="false">Demanda!L29</f>
        <v>6000</v>
      </c>
      <c r="M38" s="38" t="n">
        <f aca="false">Demanda!M29</f>
        <v>6000</v>
      </c>
      <c r="N38" s="10" t="n">
        <f aca="false">SUM(B38:M38)</f>
        <v>72000</v>
      </c>
    </row>
    <row r="39" customFormat="false" ht="15" hidden="false" customHeight="false" outlineLevel="0" collapsed="false">
      <c r="A39" s="5" t="s">
        <v>274</v>
      </c>
      <c r="B39" s="38" t="n">
        <f aca="false">Supuestos!$C$26</f>
        <v>6000</v>
      </c>
      <c r="C39" s="38" t="n">
        <f aca="false">Supuestos!$C$26</f>
        <v>6000</v>
      </c>
      <c r="D39" s="38" t="n">
        <f aca="false">Supuestos!$C$26</f>
        <v>6000</v>
      </c>
      <c r="E39" s="38" t="n">
        <f aca="false">Supuestos!$C$26</f>
        <v>6000</v>
      </c>
      <c r="F39" s="38" t="n">
        <f aca="false">Supuestos!$C$26</f>
        <v>6000</v>
      </c>
      <c r="G39" s="38" t="n">
        <f aca="false">Supuestos!$C$26</f>
        <v>6000</v>
      </c>
      <c r="H39" s="38" t="n">
        <f aca="false">Supuestos!$C$26</f>
        <v>6000</v>
      </c>
      <c r="I39" s="38" t="n">
        <f aca="false">Supuestos!$C$26</f>
        <v>6000</v>
      </c>
      <c r="J39" s="38" t="n">
        <f aca="false">Supuestos!$C$26</f>
        <v>6000</v>
      </c>
      <c r="K39" s="38" t="n">
        <f aca="false">Supuestos!$C$26</f>
        <v>6000</v>
      </c>
      <c r="L39" s="38" t="n">
        <f aca="false">Supuestos!$C$26</f>
        <v>6000</v>
      </c>
      <c r="M39" s="38" t="n">
        <f aca="false">Supuestos!$C$26</f>
        <v>6000</v>
      </c>
      <c r="N39" s="10" t="n">
        <f aca="false">SUM(B39:M39)</f>
        <v>72000</v>
      </c>
    </row>
    <row r="40" customFormat="false" ht="15" hidden="false" customHeight="false" outlineLevel="0" collapsed="false">
      <c r="A40" s="5" t="s">
        <v>275</v>
      </c>
      <c r="B40" s="38" t="n">
        <f aca="false">Inversión!$D$10/(Supuestos!$C$27*12)</f>
        <v>1555.55555555556</v>
      </c>
      <c r="C40" s="38" t="n">
        <f aca="false">Inversión!$D$10/(Supuestos!$C$27*12)</f>
        <v>1555.55555555556</v>
      </c>
      <c r="D40" s="38" t="n">
        <f aca="false">Inversión!$D$10/(Supuestos!$C$27*12)</f>
        <v>1555.55555555556</v>
      </c>
      <c r="E40" s="38" t="n">
        <f aca="false">Inversión!$D$10/(Supuestos!$C$27*12)</f>
        <v>1555.55555555556</v>
      </c>
      <c r="F40" s="38" t="n">
        <f aca="false">Inversión!$D$10/(Supuestos!$C$27*12)</f>
        <v>1555.55555555556</v>
      </c>
      <c r="G40" s="38" t="n">
        <f aca="false">Inversión!$D$10/(Supuestos!$C$27*12)</f>
        <v>1555.55555555556</v>
      </c>
      <c r="H40" s="38" t="n">
        <f aca="false">Inversión!$D$10/(Supuestos!$C$27*12)</f>
        <v>1555.55555555556</v>
      </c>
      <c r="I40" s="38" t="n">
        <f aca="false">Inversión!$D$10/(Supuestos!$C$27*12)</f>
        <v>1555.55555555556</v>
      </c>
      <c r="J40" s="38" t="n">
        <f aca="false">Inversión!$D$10/(Supuestos!$C$27*12)</f>
        <v>1555.55555555556</v>
      </c>
      <c r="K40" s="38" t="n">
        <f aca="false">Inversión!$D$10/(Supuestos!$C$27*12)</f>
        <v>1555.55555555556</v>
      </c>
      <c r="L40" s="38" t="n">
        <f aca="false">Inversión!$D$10/(Supuestos!$C$27*12)</f>
        <v>1555.55555555556</v>
      </c>
      <c r="M40" s="38" t="n">
        <f aca="false">Inversión!$D$10/(Supuestos!$C$27*12)</f>
        <v>1555.55555555556</v>
      </c>
      <c r="N40" s="10" t="n">
        <f aca="false">SUM(B40:M40)</f>
        <v>18666.6666666667</v>
      </c>
    </row>
    <row r="41" customFormat="false" ht="15" hidden="false" customHeight="false" outlineLevel="0" collapsed="false">
      <c r="A41" s="12" t="s">
        <v>15</v>
      </c>
      <c r="B41" s="13" t="n">
        <f aca="false">B35-B37-B38-B39-B40</f>
        <v>-6416.00670232962</v>
      </c>
      <c r="C41" s="13" t="n">
        <f aca="false">C35-C37-C38-C39-C40</f>
        <v>-3382.85976453342</v>
      </c>
      <c r="D41" s="13" t="n">
        <f aca="false">D35-D37-D38-D39-D40</f>
        <v>-9038.19811296659</v>
      </c>
      <c r="E41" s="13" t="n">
        <f aca="false">E35-E37-E38-E39-E40</f>
        <v>-7408.28528533405</v>
      </c>
      <c r="F41" s="13" t="n">
        <f aca="false">F35-F37-F38-F39-F40</f>
        <v>-7966.31737193869</v>
      </c>
      <c r="G41" s="13" t="n">
        <f aca="false">G35-G37-G38-G39-G40</f>
        <v>-7536.16499846668</v>
      </c>
      <c r="H41" s="13" t="n">
        <f aca="false">H35-H37-H38-H39-H40</f>
        <v>-5808.1745123527</v>
      </c>
      <c r="I41" s="13" t="n">
        <f aca="false">I35-I37-I38-I39-I40</f>
        <v>-6618.80688499512</v>
      </c>
      <c r="J41" s="13" t="n">
        <f aca="false">J35-J37-J38-J39-J40</f>
        <v>-7834.07673510252</v>
      </c>
      <c r="K41" s="13" t="n">
        <f aca="false">K35-K37-K38-K39-K40</f>
        <v>-7061.24553304908</v>
      </c>
      <c r="L41" s="13" t="n">
        <f aca="false">L35-L37-L38-L39-L40</f>
        <v>-6188.68107280886</v>
      </c>
      <c r="M41" s="13" t="n">
        <f aca="false">M35-M37-M38-M39-M40</f>
        <v>-5729.20825422945</v>
      </c>
      <c r="N41" s="13" t="n">
        <f aca="false">SUM(B41:M41)</f>
        <v>-80988.0252281068</v>
      </c>
    </row>
    <row r="42" customFormat="false" ht="15" hidden="false" customHeight="false" outlineLevel="0" collapsed="false">
      <c r="A42" s="5" t="s">
        <v>276</v>
      </c>
      <c r="B42" s="38" t="n">
        <f aca="false">B32*IF(B32&lt;=25000,0.01,IF(B32&lt;=50000,0.011,IF(B32&lt;=83333.33,0.015,IF(B32&lt;=208333.33,0.02,0.025))))</f>
        <v>197.155504894612</v>
      </c>
      <c r="C42" s="38" t="n">
        <f aca="false">C32*IF(C32&lt;=25000,0.01,IF(C32&lt;=50000,0.011,IF(C32&lt;=83333.33,0.015,IF(C32&lt;=208333.33,0.02,0.025))))</f>
        <v>309.0059775</v>
      </c>
      <c r="D42" s="38" t="n">
        <f aca="false">D32*IF(D32&lt;=25000,0.01,IF(D32&lt;=50000,0.011,IF(D32&lt;=83333.33,0.015,IF(D32&lt;=208333.33,0.02,0.025))))</f>
        <v>142.602194791582</v>
      </c>
      <c r="E42" s="38" t="n">
        <f aca="false">E32*IF(E32&lt;=25000,0.01,IF(E32&lt;=50000,0.011,IF(E32&lt;=83333.33,0.015,IF(E32&lt;=208333.33,0.02,0.025))))</f>
        <v>216.5276791323</v>
      </c>
      <c r="F42" s="38" t="n">
        <f aca="false">F32*IF(F32&lt;=25000,0.01,IF(F32&lt;=50000,0.011,IF(F32&lt;=83333.33,0.015,IF(F32&lt;=208333.33,0.02,0.025))))</f>
        <v>214.948771300527</v>
      </c>
      <c r="G42" s="38" t="n">
        <f aca="false">G32*IF(G32&lt;=25000,0.01,IF(G32&lt;=50000,0.011,IF(G32&lt;=83333.33,0.015,IF(G32&lt;=208333.33,0.02,0.025))))</f>
        <v>248.859803783857</v>
      </c>
      <c r="H42" s="38" t="n">
        <f aca="false">H32*IF(H32&lt;=25000,0.01,IF(H32&lt;=50000,0.011,IF(H32&lt;=83333.33,0.015,IF(H32&lt;=208333.33,0.02,0.025))))</f>
        <v>375.625668499521</v>
      </c>
      <c r="I42" s="38" t="n">
        <f aca="false">I32*IF(I32&lt;=25000,0.01,IF(I32&lt;=50000,0.011,IF(I32&lt;=83333.33,0.015,IF(I32&lt;=208333.33,0.02,0.025))))</f>
        <v>352.225145827651</v>
      </c>
      <c r="J42" s="38" t="n">
        <f aca="false">J32*IF(J32&lt;=25000,0.01,IF(J32&lt;=50000,0.011,IF(J32&lt;=83333.33,0.015,IF(J32&lt;=208333.33,0.02,0.025))))</f>
        <v>301.531658986963</v>
      </c>
      <c r="K42" s="38" t="n">
        <f aca="false">K32*IF(K32&lt;=25000,0.01,IF(K32&lt;=50000,0.011,IF(K32&lt;=83333.33,0.015,IF(K32&lt;=208333.33,0.02,0.025))))</f>
        <v>356.170379118077</v>
      </c>
      <c r="L42" s="38" t="n">
        <f aca="false">L32*IF(L32&lt;=25000,0.01,IF(L32&lt;=50000,0.011,IF(L32&lt;=83333.33,0.015,IF(L32&lt;=208333.33,0.02,0.025))))</f>
        <v>416.033604497552</v>
      </c>
      <c r="M42" s="38" t="n">
        <f aca="false">M32*IF(M32&lt;=25000,0.01,IF(M32&lt;=50000,0.011,IF(M32&lt;=83333.33,0.015,IF(M32&lt;=208333.33,0.02,0.025))))</f>
        <v>454.937145477019</v>
      </c>
      <c r="N42" s="10" t="n">
        <f aca="false">SUM(B42:M42)</f>
        <v>3585.62353380966</v>
      </c>
    </row>
    <row r="43" customFormat="false" ht="15" hidden="false" customHeight="false" outlineLevel="0" collapsed="false">
      <c r="A43" s="12" t="s">
        <v>18</v>
      </c>
      <c r="B43" s="13" t="n">
        <f aca="false">B41-B42</f>
        <v>-6613.16220722423</v>
      </c>
      <c r="C43" s="13" t="n">
        <f aca="false">C41-C42</f>
        <v>-3691.86574203342</v>
      </c>
      <c r="D43" s="13" t="n">
        <f aca="false">D41-D42</f>
        <v>-9180.80030775817</v>
      </c>
      <c r="E43" s="13" t="n">
        <f aca="false">E41-E42</f>
        <v>-7624.81296446634</v>
      </c>
      <c r="F43" s="13" t="n">
        <f aca="false">F41-F42</f>
        <v>-8181.26614323922</v>
      </c>
      <c r="G43" s="13" t="n">
        <f aca="false">G41-G42</f>
        <v>-7785.02480225053</v>
      </c>
      <c r="H43" s="13" t="n">
        <f aca="false">H41-H42</f>
        <v>-6183.80018085222</v>
      </c>
      <c r="I43" s="13" t="n">
        <f aca="false">I41-I42</f>
        <v>-6971.03203082277</v>
      </c>
      <c r="J43" s="13" t="n">
        <f aca="false">J41-J42</f>
        <v>-8135.60839408948</v>
      </c>
      <c r="K43" s="13" t="n">
        <f aca="false">K41-K42</f>
        <v>-7417.41591216716</v>
      </c>
      <c r="L43" s="13" t="n">
        <f aca="false">L41-L42</f>
        <v>-6604.71467730642</v>
      </c>
      <c r="M43" s="13" t="n">
        <f aca="false">M41-M42</f>
        <v>-6184.14539970647</v>
      </c>
      <c r="N43" s="13" t="n">
        <f aca="false">SUM(B43:M43)</f>
        <v>-84573.6487619164</v>
      </c>
    </row>
    <row r="44" customFormat="false" ht="15" hidden="false" customHeight="false" outlineLevel="0" collapsed="false">
      <c r="A44" s="5" t="s">
        <v>277</v>
      </c>
      <c r="B44" s="38" t="n">
        <f aca="false">MAX(0,B41)*Supuestos!$C$29</f>
        <v>0</v>
      </c>
      <c r="C44" s="38" t="n">
        <f aca="false">MAX(0,C41)*Supuestos!$C$29</f>
        <v>0</v>
      </c>
      <c r="D44" s="38" t="n">
        <f aca="false">MAX(0,D41)*Supuestos!$C$29</f>
        <v>0</v>
      </c>
      <c r="E44" s="38" t="n">
        <f aca="false">MAX(0,E41)*Supuestos!$C$29</f>
        <v>0</v>
      </c>
      <c r="F44" s="38" t="n">
        <f aca="false">MAX(0,F41)*Supuestos!$C$29</f>
        <v>0</v>
      </c>
      <c r="G44" s="38" t="n">
        <f aca="false">MAX(0,G41)*Supuestos!$C$29</f>
        <v>0</v>
      </c>
      <c r="H44" s="38" t="n">
        <f aca="false">MAX(0,H41)*Supuestos!$C$29</f>
        <v>0</v>
      </c>
      <c r="I44" s="38" t="n">
        <f aca="false">MAX(0,I41)*Supuestos!$C$29</f>
        <v>0</v>
      </c>
      <c r="J44" s="38" t="n">
        <f aca="false">MAX(0,J41)*Supuestos!$C$29</f>
        <v>0</v>
      </c>
      <c r="K44" s="38" t="n">
        <f aca="false">MAX(0,K41)*Supuestos!$C$29</f>
        <v>0</v>
      </c>
      <c r="L44" s="38" t="n">
        <f aca="false">MAX(0,L41)*Supuestos!$C$29</f>
        <v>0</v>
      </c>
      <c r="M44" s="38" t="n">
        <f aca="false">MAX(0,M41)*Supuestos!$C$29</f>
        <v>0</v>
      </c>
      <c r="N44" s="10" t="n">
        <f aca="false">SUM(B44:M44)</f>
        <v>0</v>
      </c>
    </row>
    <row r="45" customFormat="false" ht="15" hidden="false" customHeight="false" outlineLevel="0" collapsed="false">
      <c r="A45" s="9" t="s">
        <v>97</v>
      </c>
      <c r="B45" s="10" t="n">
        <f aca="false">MAX(0,B41)*Supuestos!$C$30</f>
        <v>0</v>
      </c>
      <c r="C45" s="10" t="n">
        <f aca="false">MAX(0,C41)*Supuestos!$C$30</f>
        <v>0</v>
      </c>
      <c r="D45" s="10" t="n">
        <f aca="false">MAX(0,D41)*Supuestos!$C$30</f>
        <v>0</v>
      </c>
      <c r="E45" s="10" t="n">
        <f aca="false">MAX(0,E41)*Supuestos!$C$30</f>
        <v>0</v>
      </c>
      <c r="F45" s="10" t="n">
        <f aca="false">MAX(0,F41)*Supuestos!$C$30</f>
        <v>0</v>
      </c>
      <c r="G45" s="10" t="n">
        <f aca="false">MAX(0,G41)*Supuestos!$C$30</f>
        <v>0</v>
      </c>
      <c r="H45" s="10" t="n">
        <f aca="false">MAX(0,H41)*Supuestos!$C$30</f>
        <v>0</v>
      </c>
      <c r="I45" s="10" t="n">
        <f aca="false">MAX(0,I41)*Supuestos!$C$30</f>
        <v>0</v>
      </c>
      <c r="J45" s="10" t="n">
        <f aca="false">MAX(0,J41)*Supuestos!$C$30</f>
        <v>0</v>
      </c>
      <c r="K45" s="10" t="n">
        <f aca="false">MAX(0,K41)*Supuestos!$C$30</f>
        <v>0</v>
      </c>
      <c r="L45" s="10" t="n">
        <f aca="false">MAX(0,L41)*Supuestos!$C$30</f>
        <v>0</v>
      </c>
      <c r="M45" s="10" t="n">
        <f aca="false">MAX(0,M41)*Supuestos!$C$30</f>
        <v>0</v>
      </c>
      <c r="N45" s="10" t="n">
        <f aca="false">SUM(B45:M45)</f>
        <v>0</v>
      </c>
    </row>
    <row r="46" customFormat="false" ht="15" hidden="false" customHeight="false" outlineLevel="0" collapsed="false">
      <c r="A46" s="12" t="s">
        <v>278</v>
      </c>
      <c r="B46" s="13" t="n">
        <f aca="false">B41-B44-B45</f>
        <v>-6416.00670232962</v>
      </c>
      <c r="C46" s="13" t="n">
        <f aca="false">C41-C44-C45</f>
        <v>-3382.85976453342</v>
      </c>
      <c r="D46" s="13" t="n">
        <f aca="false">D41-D44-D45</f>
        <v>-9038.19811296659</v>
      </c>
      <c r="E46" s="13" t="n">
        <f aca="false">E41-E44-E45</f>
        <v>-7408.28528533405</v>
      </c>
      <c r="F46" s="13" t="n">
        <f aca="false">F41-F44-F45</f>
        <v>-7966.31737193869</v>
      </c>
      <c r="G46" s="13" t="n">
        <f aca="false">G41-G44-G45</f>
        <v>-7536.16499846668</v>
      </c>
      <c r="H46" s="13" t="n">
        <f aca="false">H41-H44-H45</f>
        <v>-5808.1745123527</v>
      </c>
      <c r="I46" s="13" t="n">
        <f aca="false">I41-I44-I45</f>
        <v>-6618.80688499512</v>
      </c>
      <c r="J46" s="13" t="n">
        <f aca="false">J41-J44-J45</f>
        <v>-7834.07673510252</v>
      </c>
      <c r="K46" s="13" t="n">
        <f aca="false">K41-K44-K45</f>
        <v>-7061.24553304908</v>
      </c>
      <c r="L46" s="13" t="n">
        <f aca="false">L41-L44-L45</f>
        <v>-6188.68107280886</v>
      </c>
      <c r="M46" s="13" t="n">
        <f aca="false">M41-M44-M45</f>
        <v>-5729.20825422945</v>
      </c>
      <c r="N46" s="13" t="n">
        <f aca="false">SUM(B46:M46)</f>
        <v>-80988.0252281068</v>
      </c>
    </row>
    <row r="47" customFormat="false" ht="15" hidden="false" customHeight="false" outlineLevel="0" collapsed="false">
      <c r="A47" s="5" t="s">
        <v>279</v>
      </c>
      <c r="N47" s="9" t="str">
        <f aca="false">IF(N32&lt;=3500000,"Dentro del límite","Rebasa el límite")</f>
        <v>Dentro del límite</v>
      </c>
    </row>
    <row r="48" customFormat="false" ht="15" hidden="false" customHeight="false" outlineLevel="0" collapsed="false">
      <c r="A48" s="5" t="s">
        <v>280</v>
      </c>
      <c r="B48" s="38" t="n">
        <f aca="false">SUM($B41:B41)</f>
        <v>-6416.00670232962</v>
      </c>
      <c r="C48" s="38" t="n">
        <f aca="false">SUM($B41:C41)</f>
        <v>-9798.86646686303</v>
      </c>
      <c r="D48" s="38" t="n">
        <f aca="false">SUM($B41:D41)</f>
        <v>-18837.0645798296</v>
      </c>
      <c r="E48" s="38" t="n">
        <f aca="false">SUM($B41:E41)</f>
        <v>-26245.3498651637</v>
      </c>
      <c r="F48" s="38" t="n">
        <f aca="false">SUM($B41:F41)</f>
        <v>-34211.6672371024</v>
      </c>
      <c r="G48" s="38" t="n">
        <f aca="false">SUM($B41:G41)</f>
        <v>-41747.832235569</v>
      </c>
      <c r="H48" s="38" t="n">
        <f aca="false">SUM($B41:H41)</f>
        <v>-47556.0067479217</v>
      </c>
      <c r="I48" s="38" t="n">
        <f aca="false">SUM($B41:I41)</f>
        <v>-54174.8136329169</v>
      </c>
      <c r="J48" s="38" t="n">
        <f aca="false">SUM($B41:J41)</f>
        <v>-62008.8903680194</v>
      </c>
      <c r="K48" s="38" t="n">
        <f aca="false">SUM($B41:K41)</f>
        <v>-69070.1359010684</v>
      </c>
      <c r="L48" s="38" t="n">
        <f aca="false">SUM($B41:L41)</f>
        <v>-75258.8169738773</v>
      </c>
      <c r="M48" s="38" t="n">
        <f aca="false">SUM($B41:M41)</f>
        <v>-80988.0252281068</v>
      </c>
    </row>
    <row r="52" customFormat="false" ht="15" hidden="false" customHeight="false" outlineLevel="0" collapsed="false">
      <c r="A52" s="35" t="s">
        <v>189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</row>
    <row r="53" customFormat="false" ht="21.75" hidden="false" customHeight="true" outlineLevel="0" collapsed="false">
      <c r="A53" s="3" t="s">
        <v>169</v>
      </c>
      <c r="B53" s="4" t="s">
        <v>114</v>
      </c>
      <c r="C53" s="4" t="s">
        <v>116</v>
      </c>
      <c r="D53" s="4" t="s">
        <v>118</v>
      </c>
      <c r="E53" s="4" t="s">
        <v>120</v>
      </c>
      <c r="F53" s="4" t="s">
        <v>122</v>
      </c>
      <c r="G53" s="4" t="s">
        <v>123</v>
      </c>
      <c r="H53" s="4" t="s">
        <v>124</v>
      </c>
      <c r="I53" s="4" t="s">
        <v>126</v>
      </c>
      <c r="J53" s="4" t="s">
        <v>128</v>
      </c>
      <c r="K53" s="4" t="s">
        <v>130</v>
      </c>
      <c r="L53" s="4" t="s">
        <v>132</v>
      </c>
      <c r="M53" s="4" t="s">
        <v>134</v>
      </c>
      <c r="N53" s="4" t="s">
        <v>170</v>
      </c>
    </row>
    <row r="54" customFormat="false" ht="15" hidden="false" customHeight="false" outlineLevel="0" collapsed="false">
      <c r="A54" s="5" t="s">
        <v>267</v>
      </c>
      <c r="B54" s="38" t="n">
        <f aca="false">Demanda!B57</f>
        <v>46637.3966588135</v>
      </c>
      <c r="C54" s="38" t="n">
        <f aca="false">Demanda!C57</f>
        <v>65999.1973522168</v>
      </c>
      <c r="D54" s="38" t="n">
        <f aca="false">Demanda!D57</f>
        <v>31148.1158745463</v>
      </c>
      <c r="E54" s="38" t="n">
        <f aca="false">Demanda!E57</f>
        <v>42630.4000965979</v>
      </c>
      <c r="F54" s="38" t="n">
        <f aca="false">Demanda!F57</f>
        <v>39303.9814026516</v>
      </c>
      <c r="G54" s="38" t="n">
        <f aca="false">Demanda!G57</f>
        <v>42906.7300630407</v>
      </c>
      <c r="H54" s="38" t="n">
        <f aca="false">Demanda!H57</f>
        <v>55595.5865033575</v>
      </c>
      <c r="I54" s="38" t="n">
        <f aca="false">Demanda!I57</f>
        <v>50761.1876769786</v>
      </c>
      <c r="J54" s="38" t="n">
        <f aca="false">Demanda!J57</f>
        <v>42676.3590176016</v>
      </c>
      <c r="K54" s="38" t="n">
        <f aca="false">Demanda!K57</f>
        <v>48748.1874872603</v>
      </c>
      <c r="L54" s="38" t="n">
        <f aca="false">Demanda!L57</f>
        <v>55995.0528894885</v>
      </c>
      <c r="M54" s="38" t="n">
        <f aca="false">Demanda!M57</f>
        <v>59934.9891604147</v>
      </c>
      <c r="N54" s="10" t="n">
        <f aca="false">SUM(B54:M54)</f>
        <v>582337.184182968</v>
      </c>
    </row>
    <row r="55" customFormat="false" ht="15" hidden="false" customHeight="false" outlineLevel="0" collapsed="false">
      <c r="A55" s="5" t="s">
        <v>268</v>
      </c>
      <c r="B55" s="38" t="n">
        <f aca="false">Demanda!B61</f>
        <v>0</v>
      </c>
      <c r="C55" s="38" t="n">
        <f aca="false">Demanda!C61</f>
        <v>0</v>
      </c>
      <c r="D55" s="38" t="n">
        <f aca="false">Demanda!D61</f>
        <v>5376</v>
      </c>
      <c r="E55" s="38" t="n">
        <f aca="false">Demanda!E61</f>
        <v>14227.2</v>
      </c>
      <c r="F55" s="38" t="n">
        <f aca="false">Demanda!F61</f>
        <v>18621.12</v>
      </c>
      <c r="G55" s="38" t="n">
        <f aca="false">Demanda!G61</f>
        <v>25642.656</v>
      </c>
      <c r="H55" s="38" t="n">
        <f aca="false">Demanda!H61</f>
        <v>39959.3352</v>
      </c>
      <c r="I55" s="38" t="n">
        <f aca="false">Demanda!I61</f>
        <v>40689.8856</v>
      </c>
      <c r="J55" s="38" t="n">
        <f aca="false">Demanda!J61</f>
        <v>37068.313056</v>
      </c>
      <c r="K55" s="38" t="n">
        <f aca="false">Demanda!K61</f>
        <v>46528.7595786</v>
      </c>
      <c r="L55" s="38" t="n">
        <f aca="false">Demanda!L61</f>
        <v>56793.6906663</v>
      </c>
      <c r="M55" s="38" t="n">
        <f aca="false">Demanda!M61</f>
        <v>64715.7064396342</v>
      </c>
      <c r="N55" s="10" t="n">
        <f aca="false">SUM(B55:M55)</f>
        <v>349622.666540534</v>
      </c>
    </row>
    <row r="56" customFormat="false" ht="15" hidden="false" customHeight="false" outlineLevel="0" collapsed="false">
      <c r="A56" s="9" t="s">
        <v>269</v>
      </c>
      <c r="B56" s="10" t="n">
        <f aca="false">B54+B55</f>
        <v>46637.3966588135</v>
      </c>
      <c r="C56" s="10" t="n">
        <f aca="false">C54+C55</f>
        <v>65999.1973522168</v>
      </c>
      <c r="D56" s="10" t="n">
        <f aca="false">D54+D55</f>
        <v>36524.1158745463</v>
      </c>
      <c r="E56" s="10" t="n">
        <f aca="false">E54+E55</f>
        <v>56857.6000965979</v>
      </c>
      <c r="F56" s="10" t="n">
        <f aca="false">F54+F55</f>
        <v>57925.1014026516</v>
      </c>
      <c r="G56" s="10" t="n">
        <f aca="false">G54+G55</f>
        <v>68549.3860630407</v>
      </c>
      <c r="H56" s="10" t="n">
        <f aca="false">H54+H55</f>
        <v>95554.9217033575</v>
      </c>
      <c r="I56" s="10" t="n">
        <f aca="false">I54+I55</f>
        <v>91451.0732769786</v>
      </c>
      <c r="J56" s="10" t="n">
        <f aca="false">J54+J55</f>
        <v>79744.6720736016</v>
      </c>
      <c r="K56" s="10" t="n">
        <f aca="false">K54+K55</f>
        <v>95276.9470658603</v>
      </c>
      <c r="L56" s="10" t="n">
        <f aca="false">L54+L55</f>
        <v>112788.743555788</v>
      </c>
      <c r="M56" s="10" t="n">
        <f aca="false">M54+M55</f>
        <v>124650.695600049</v>
      </c>
      <c r="N56" s="10" t="n">
        <f aca="false">SUM(B56:M56)</f>
        <v>931959.850723502</v>
      </c>
    </row>
    <row r="57" customFormat="false" ht="15" hidden="false" customHeight="false" outlineLevel="0" collapsed="false">
      <c r="A57" s="5" t="s">
        <v>270</v>
      </c>
      <c r="B57" s="38" t="n">
        <f aca="false">B54*Costos!$B$19*Supuestos!$E$18</f>
        <v>24826.2513954745</v>
      </c>
      <c r="C57" s="38" t="n">
        <f aca="false">C54*Costos!$B$19*Supuestos!$E$18</f>
        <v>35133.0216253832</v>
      </c>
      <c r="D57" s="38" t="n">
        <f aca="false">D54*Costos!$B$19*Supuestos!$E$18</f>
        <v>16580.9202613526</v>
      </c>
      <c r="E57" s="38" t="n">
        <f aca="false">E54*Costos!$B$19*Supuestos!$E$18</f>
        <v>22693.227017589</v>
      </c>
      <c r="F57" s="38" t="n">
        <f aca="false">F54*Costos!$B$19*Supuestos!$E$18</f>
        <v>20922.4912420339</v>
      </c>
      <c r="G57" s="38" t="n">
        <f aca="false">G54*Costos!$B$19*Supuestos!$E$18</f>
        <v>22840.3243623486</v>
      </c>
      <c r="H57" s="38" t="n">
        <f aca="false">H54*Costos!$B$19*Supuestos!$E$18</f>
        <v>29594.9196544694</v>
      </c>
      <c r="I57" s="38" t="n">
        <f aca="false">I54*Costos!$B$19*Supuestos!$E$18</f>
        <v>27021.4483801677</v>
      </c>
      <c r="J57" s="38" t="n">
        <f aca="false">J54*Costos!$B$19*Supuestos!$E$18</f>
        <v>22717.6920994427</v>
      </c>
      <c r="K57" s="38" t="n">
        <f aca="false">K54*Costos!$B$19*Supuestos!$E$18</f>
        <v>25949.878087883</v>
      </c>
      <c r="L57" s="38" t="n">
        <f aca="false">L54*Costos!$B$19*Supuestos!$E$18</f>
        <v>29807.5655917776</v>
      </c>
      <c r="M57" s="38" t="n">
        <f aca="false">M54*Costos!$B$19*Supuestos!$E$18</f>
        <v>31904.8921012255</v>
      </c>
      <c r="N57" s="10" t="n">
        <f aca="false">SUM(B57:M57)</f>
        <v>309992.631819148</v>
      </c>
    </row>
    <row r="58" customFormat="false" ht="15" hidden="false" customHeight="false" outlineLevel="0" collapsed="false">
      <c r="A58" s="5" t="s">
        <v>271</v>
      </c>
      <c r="B58" s="38" t="n">
        <f aca="false">B55*Costos!$B$20*Supuestos!$E$18</f>
        <v>0</v>
      </c>
      <c r="C58" s="38" t="n">
        <f aca="false">C55*Costos!$B$20*Supuestos!$E$18</f>
        <v>0</v>
      </c>
      <c r="D58" s="38" t="n">
        <f aca="false">D55*Costos!$B$20*Supuestos!$E$18</f>
        <v>4948.67438038894</v>
      </c>
      <c r="E58" s="38" t="n">
        <f aca="false">E55*Costos!$B$20*Supuestos!$E$18</f>
        <v>13096.3132709579</v>
      </c>
      <c r="F58" s="38" t="n">
        <f aca="false">F55*Costos!$B$20*Supuestos!$E$18</f>
        <v>17140.9708850722</v>
      </c>
      <c r="G58" s="38" t="n">
        <f aca="false">G55*Costos!$B$20*Supuestos!$E$18</f>
        <v>23604.381471787</v>
      </c>
      <c r="H58" s="38" t="n">
        <f aca="false">H55*Costos!$B$20*Supuestos!$E$18</f>
        <v>36783.0614511931</v>
      </c>
      <c r="I58" s="38" t="n">
        <f aca="false">I55*Costos!$B$20*Supuestos!$E$18</f>
        <v>37455.5421148953</v>
      </c>
      <c r="J58" s="38" t="n">
        <f aca="false">J55*Costos!$B$20*Supuestos!$E$18</f>
        <v>34121.839870622</v>
      </c>
      <c r="K58" s="38" t="n">
        <f aca="false">K55*Costos!$B$20*Supuestos!$E$18</f>
        <v>42830.2977079417</v>
      </c>
      <c r="L58" s="38" t="n">
        <f aca="false">L55*Costos!$B$20*Supuestos!$E$18</f>
        <v>52279.2935208433</v>
      </c>
      <c r="M58" s="38" t="n">
        <f aca="false">M55*Costos!$B$20*Supuestos!$E$18</f>
        <v>59571.6068576246</v>
      </c>
      <c r="N58" s="10" t="n">
        <f aca="false">SUM(B58:M58)</f>
        <v>321831.981531326</v>
      </c>
    </row>
    <row r="59" customFormat="false" ht="15" hidden="false" customHeight="false" outlineLevel="0" collapsed="false">
      <c r="A59" s="12" t="s">
        <v>12</v>
      </c>
      <c r="B59" s="13" t="n">
        <f aca="false">B56-B57-B58</f>
        <v>21811.1452633389</v>
      </c>
      <c r="C59" s="13" t="n">
        <f aca="false">C56-C57-C58</f>
        <v>30866.1757268335</v>
      </c>
      <c r="D59" s="13" t="n">
        <f aca="false">D56-D57-D58</f>
        <v>14994.5212328048</v>
      </c>
      <c r="E59" s="13" t="n">
        <f aca="false">E56-E57-E58</f>
        <v>21068.059808051</v>
      </c>
      <c r="F59" s="13" t="n">
        <f aca="false">F56-F57-F58</f>
        <v>19861.6392755456</v>
      </c>
      <c r="G59" s="13" t="n">
        <f aca="false">G56-G57-G58</f>
        <v>22104.6802289051</v>
      </c>
      <c r="H59" s="13" t="n">
        <f aca="false">H56-H57-H58</f>
        <v>29176.940597695</v>
      </c>
      <c r="I59" s="13" t="n">
        <f aca="false">I56-I57-I58</f>
        <v>26974.0827819156</v>
      </c>
      <c r="J59" s="13" t="n">
        <f aca="false">J56-J57-J58</f>
        <v>22905.1401035368</v>
      </c>
      <c r="K59" s="13" t="n">
        <f aca="false">K56-K57-K58</f>
        <v>26496.7712700357</v>
      </c>
      <c r="L59" s="13" t="n">
        <f aca="false">L56-L57-L58</f>
        <v>30701.8844431676</v>
      </c>
      <c r="M59" s="13" t="n">
        <f aca="false">M56-M57-M58</f>
        <v>33174.196641199</v>
      </c>
      <c r="N59" s="13" t="n">
        <f aca="false">SUM(B59:M59)</f>
        <v>300135.237373029</v>
      </c>
    </row>
    <row r="60" customFormat="false" ht="15" hidden="false" customHeight="false" outlineLevel="0" collapsed="false">
      <c r="A60" s="5" t="s">
        <v>13</v>
      </c>
      <c r="B60" s="47" t="n">
        <f aca="false">IFERROR(B59/B56,0)</f>
        <v>0.467675016744682</v>
      </c>
      <c r="C60" s="47" t="n">
        <f aca="false">IFERROR(C59/C56,0)</f>
        <v>0.467675016744682</v>
      </c>
      <c r="D60" s="47" t="n">
        <f aca="false">IFERROR(D59/D56,0)</f>
        <v>0.410537555085748</v>
      </c>
      <c r="E60" s="47" t="n">
        <f aca="false">IFERROR(E59/E56,0)</f>
        <v>0.370540785616304</v>
      </c>
      <c r="F60" s="47" t="n">
        <f aca="false">IFERROR(F59/F56,0)</f>
        <v>0.342884842574248</v>
      </c>
      <c r="G60" s="47" t="n">
        <f aca="false">IFERROR(G59/G56,0)</f>
        <v>0.322463576968826</v>
      </c>
      <c r="H60" s="47" t="n">
        <f aca="false">IFERROR(H59/H56,0)</f>
        <v>0.305342101459436</v>
      </c>
      <c r="I60" s="47" t="n">
        <f aca="false">IFERROR(I59/I56,0)</f>
        <v>0.294956437528284</v>
      </c>
      <c r="J60" s="47" t="n">
        <f aca="false">IFERROR(J59/J56,0)</f>
        <v>0.287230977417478</v>
      </c>
      <c r="K60" s="47" t="n">
        <f aca="false">IFERROR(K59/K56,0)</f>
        <v>0.278102647975483</v>
      </c>
      <c r="L60" s="47" t="n">
        <f aca="false">IFERROR(L59/L56,0)</f>
        <v>0.272206990478457</v>
      </c>
      <c r="M60" s="47" t="n">
        <f aca="false">IFERROR(M59/M56,0)</f>
        <v>0.266137276502979</v>
      </c>
      <c r="N60" s="49" t="n">
        <f aca="false">IFERROR(N59/N56,0)</f>
        <v>0.322047389852714</v>
      </c>
    </row>
    <row r="61" customFormat="false" ht="15" hidden="false" customHeight="false" outlineLevel="0" collapsed="false">
      <c r="A61" s="5" t="s">
        <v>272</v>
      </c>
      <c r="B61" s="38" t="n">
        <f aca="false">Demanda!B56*Supuestos!$C$25</f>
        <v>2163.97520496894</v>
      </c>
      <c r="C61" s="38" t="n">
        <f aca="false">Demanda!C56*Supuestos!$C$25</f>
        <v>3062.36275714286</v>
      </c>
      <c r="D61" s="38" t="n">
        <f aca="false">Demanda!D56*Supuestos!$C$25</f>
        <v>1445.27257657895</v>
      </c>
      <c r="E61" s="38" t="n">
        <f aca="false">Demanda!E56*Supuestos!$C$25</f>
        <v>1978.05056448214</v>
      </c>
      <c r="F61" s="38" t="n">
        <f aca="false">Demanda!F56*Supuestos!$C$25</f>
        <v>1823.70473708304</v>
      </c>
      <c r="G61" s="38" t="n">
        <f aca="false">Demanda!G56*Supuestos!$C$25</f>
        <v>1990.87227492509</v>
      </c>
      <c r="H61" s="38" t="n">
        <f aca="false">Demanda!H56*Supuestos!$C$25</f>
        <v>2579.63521375579</v>
      </c>
      <c r="I61" s="38" t="n">
        <f aca="false">Demanda!I56*Supuestos!$C$25</f>
        <v>2355.31910821181</v>
      </c>
      <c r="J61" s="38" t="n">
        <f aca="false">Demanda!J56*Supuestos!$C$25</f>
        <v>1980.18305841671</v>
      </c>
      <c r="K61" s="38" t="n">
        <f aca="false">Demanda!K56*Supuestos!$C$25</f>
        <v>2261.91589940888</v>
      </c>
      <c r="L61" s="38" t="n">
        <f aca="false">Demanda!L56*Supuestos!$C$25</f>
        <v>2598.17045407226</v>
      </c>
      <c r="M61" s="38" t="n">
        <f aca="false">Demanda!M56*Supuestos!$C$25</f>
        <v>2780.98349704324</v>
      </c>
      <c r="N61" s="10" t="n">
        <f aca="false">SUM(B61:M61)</f>
        <v>27020.4453460897</v>
      </c>
    </row>
    <row r="62" customFormat="false" ht="15" hidden="false" customHeight="false" outlineLevel="0" collapsed="false">
      <c r="A62" s="5" t="s">
        <v>273</v>
      </c>
      <c r="B62" s="38" t="n">
        <f aca="false">Demanda!B49</f>
        <v>9000</v>
      </c>
      <c r="C62" s="38" t="n">
        <f aca="false">Demanda!C49</f>
        <v>9000</v>
      </c>
      <c r="D62" s="38" t="n">
        <f aca="false">Demanda!D49</f>
        <v>9000</v>
      </c>
      <c r="E62" s="38" t="n">
        <f aca="false">Demanda!E49</f>
        <v>9000</v>
      </c>
      <c r="F62" s="38" t="n">
        <f aca="false">Demanda!F49</f>
        <v>9000</v>
      </c>
      <c r="G62" s="38" t="n">
        <f aca="false">Demanda!G49</f>
        <v>9000</v>
      </c>
      <c r="H62" s="38" t="n">
        <f aca="false">Demanda!H49</f>
        <v>9000</v>
      </c>
      <c r="I62" s="38" t="n">
        <f aca="false">Demanda!I49</f>
        <v>9000</v>
      </c>
      <c r="J62" s="38" t="n">
        <f aca="false">Demanda!J49</f>
        <v>9000</v>
      </c>
      <c r="K62" s="38" t="n">
        <f aca="false">Demanda!K49</f>
        <v>9000</v>
      </c>
      <c r="L62" s="38" t="n">
        <f aca="false">Demanda!L49</f>
        <v>9000</v>
      </c>
      <c r="M62" s="38" t="n">
        <f aca="false">Demanda!M49</f>
        <v>9000</v>
      </c>
      <c r="N62" s="10" t="n">
        <f aca="false">SUM(B62:M62)</f>
        <v>108000</v>
      </c>
    </row>
    <row r="63" customFormat="false" ht="15" hidden="false" customHeight="false" outlineLevel="0" collapsed="false">
      <c r="A63" s="5" t="s">
        <v>274</v>
      </c>
      <c r="B63" s="38" t="n">
        <f aca="false">Supuestos!$C$26</f>
        <v>6000</v>
      </c>
      <c r="C63" s="38" t="n">
        <f aca="false">Supuestos!$C$26</f>
        <v>6000</v>
      </c>
      <c r="D63" s="38" t="n">
        <f aca="false">Supuestos!$C$26</f>
        <v>6000</v>
      </c>
      <c r="E63" s="38" t="n">
        <f aca="false">Supuestos!$C$26</f>
        <v>6000</v>
      </c>
      <c r="F63" s="38" t="n">
        <f aca="false">Supuestos!$C$26</f>
        <v>6000</v>
      </c>
      <c r="G63" s="38" t="n">
        <f aca="false">Supuestos!$C$26</f>
        <v>6000</v>
      </c>
      <c r="H63" s="38" t="n">
        <f aca="false">Supuestos!$C$26</f>
        <v>6000</v>
      </c>
      <c r="I63" s="38" t="n">
        <f aca="false">Supuestos!$C$26</f>
        <v>6000</v>
      </c>
      <c r="J63" s="38" t="n">
        <f aca="false">Supuestos!$C$26</f>
        <v>6000</v>
      </c>
      <c r="K63" s="38" t="n">
        <f aca="false">Supuestos!$C$26</f>
        <v>6000</v>
      </c>
      <c r="L63" s="38" t="n">
        <f aca="false">Supuestos!$C$26</f>
        <v>6000</v>
      </c>
      <c r="M63" s="38" t="n">
        <f aca="false">Supuestos!$C$26</f>
        <v>6000</v>
      </c>
      <c r="N63" s="10" t="n">
        <f aca="false">SUM(B63:M63)</f>
        <v>72000</v>
      </c>
    </row>
    <row r="64" customFormat="false" ht="15" hidden="false" customHeight="false" outlineLevel="0" collapsed="false">
      <c r="A64" s="5" t="s">
        <v>275</v>
      </c>
      <c r="B64" s="38" t="n">
        <f aca="false">Inversión!$D$10/(Supuestos!$C$27*12)</f>
        <v>1555.55555555556</v>
      </c>
      <c r="C64" s="38" t="n">
        <f aca="false">Inversión!$D$10/(Supuestos!$C$27*12)</f>
        <v>1555.55555555556</v>
      </c>
      <c r="D64" s="38" t="n">
        <f aca="false">Inversión!$D$10/(Supuestos!$C$27*12)</f>
        <v>1555.55555555556</v>
      </c>
      <c r="E64" s="38" t="n">
        <f aca="false">Inversión!$D$10/(Supuestos!$C$27*12)</f>
        <v>1555.55555555556</v>
      </c>
      <c r="F64" s="38" t="n">
        <f aca="false">Inversión!$D$10/(Supuestos!$C$27*12)</f>
        <v>1555.55555555556</v>
      </c>
      <c r="G64" s="38" t="n">
        <f aca="false">Inversión!$D$10/(Supuestos!$C$27*12)</f>
        <v>1555.55555555556</v>
      </c>
      <c r="H64" s="38" t="n">
        <f aca="false">Inversión!$D$10/(Supuestos!$C$27*12)</f>
        <v>1555.55555555556</v>
      </c>
      <c r="I64" s="38" t="n">
        <f aca="false">Inversión!$D$10/(Supuestos!$C$27*12)</f>
        <v>1555.55555555556</v>
      </c>
      <c r="J64" s="38" t="n">
        <f aca="false">Inversión!$D$10/(Supuestos!$C$27*12)</f>
        <v>1555.55555555556</v>
      </c>
      <c r="K64" s="38" t="n">
        <f aca="false">Inversión!$D$10/(Supuestos!$C$27*12)</f>
        <v>1555.55555555556</v>
      </c>
      <c r="L64" s="38" t="n">
        <f aca="false">Inversión!$D$10/(Supuestos!$C$27*12)</f>
        <v>1555.55555555556</v>
      </c>
      <c r="M64" s="38" t="n">
        <f aca="false">Inversión!$D$10/(Supuestos!$C$27*12)</f>
        <v>1555.55555555556</v>
      </c>
      <c r="N64" s="10" t="n">
        <f aca="false">SUM(B64:M64)</f>
        <v>18666.6666666667</v>
      </c>
    </row>
    <row r="65" customFormat="false" ht="15" hidden="false" customHeight="false" outlineLevel="0" collapsed="false">
      <c r="A65" s="12" t="s">
        <v>15</v>
      </c>
      <c r="B65" s="13" t="n">
        <f aca="false">B59-B61-B62-B63-B64</f>
        <v>3091.61450281444</v>
      </c>
      <c r="C65" s="13" t="n">
        <f aca="false">C59-C61-C62-C63-C64</f>
        <v>11248.2574141351</v>
      </c>
      <c r="D65" s="13" t="n">
        <f aca="false">D59-D61-D62-D63-D64</f>
        <v>-3006.30689932974</v>
      </c>
      <c r="E65" s="13" t="n">
        <f aca="false">E59-E61-E62-E63-E64</f>
        <v>2534.45368801333</v>
      </c>
      <c r="F65" s="13" t="n">
        <f aca="false">F59-F61-F62-F63-F64</f>
        <v>1482.37898290696</v>
      </c>
      <c r="G65" s="13" t="n">
        <f aca="false">G59-G61-G62-G63-G64</f>
        <v>3558.25239842449</v>
      </c>
      <c r="H65" s="13" t="n">
        <f aca="false">H59-H61-H62-H63-H64</f>
        <v>10041.7498283837</v>
      </c>
      <c r="I65" s="13" t="n">
        <f aca="false">I59-I61-I62-I63-I64</f>
        <v>8063.20811814826</v>
      </c>
      <c r="J65" s="13" t="n">
        <f aca="false">J59-J61-J62-J63-J64</f>
        <v>4369.40148956456</v>
      </c>
      <c r="K65" s="13" t="n">
        <f aca="false">K59-K61-K62-K63-K64</f>
        <v>7679.29981507124</v>
      </c>
      <c r="L65" s="13" t="n">
        <f aca="false">L59-L61-L62-L63-L64</f>
        <v>11548.1584335398</v>
      </c>
      <c r="M65" s="13" t="n">
        <f aca="false">M59-M61-M62-M63-M64</f>
        <v>13837.6575886002</v>
      </c>
      <c r="N65" s="13" t="n">
        <f aca="false">SUM(B65:M65)</f>
        <v>74448.1253602722</v>
      </c>
    </row>
    <row r="66" customFormat="false" ht="15" hidden="false" customHeight="false" outlineLevel="0" collapsed="false">
      <c r="A66" s="5" t="s">
        <v>276</v>
      </c>
      <c r="B66" s="38" t="n">
        <f aca="false">B56*IF(B56&lt;=25000,0.01,IF(B56&lt;=50000,0.011,IF(B56&lt;=83333.33,0.015,IF(B56&lt;=208333.33,0.02,0.025))))</f>
        <v>513.011363246948</v>
      </c>
      <c r="C66" s="38" t="n">
        <f aca="false">C56*IF(C56&lt;=25000,0.01,IF(C56&lt;=50000,0.011,IF(C56&lt;=83333.33,0.015,IF(C56&lt;=208333.33,0.02,0.025))))</f>
        <v>989.987960283251</v>
      </c>
      <c r="D66" s="38" t="n">
        <f aca="false">D56*IF(D56&lt;=25000,0.01,IF(D56&lt;=50000,0.011,IF(D56&lt;=83333.33,0.015,IF(D56&lt;=208333.33,0.02,0.025))))</f>
        <v>401.765274620009</v>
      </c>
      <c r="E66" s="38" t="n">
        <f aca="false">E56*IF(E56&lt;=25000,0.01,IF(E56&lt;=50000,0.011,IF(E56&lt;=83333.33,0.015,IF(E56&lt;=208333.33,0.02,0.025))))</f>
        <v>852.864001448969</v>
      </c>
      <c r="F66" s="38" t="n">
        <f aca="false">F56*IF(F56&lt;=25000,0.01,IF(F56&lt;=50000,0.011,IF(F56&lt;=83333.33,0.015,IF(F56&lt;=208333.33,0.02,0.025))))</f>
        <v>868.876521039775</v>
      </c>
      <c r="G66" s="38" t="n">
        <f aca="false">G56*IF(G56&lt;=25000,0.01,IF(G56&lt;=50000,0.011,IF(G56&lt;=83333.33,0.015,IF(G56&lt;=208333.33,0.02,0.025))))</f>
        <v>1028.24079094561</v>
      </c>
      <c r="H66" s="38" t="n">
        <f aca="false">H56*IF(H56&lt;=25000,0.01,IF(H56&lt;=50000,0.011,IF(H56&lt;=83333.33,0.015,IF(H56&lt;=208333.33,0.02,0.025))))</f>
        <v>1911.09843406715</v>
      </c>
      <c r="I66" s="38" t="n">
        <f aca="false">I56*IF(I56&lt;=25000,0.01,IF(I56&lt;=50000,0.011,IF(I56&lt;=83333.33,0.015,IF(I56&lt;=208333.33,0.02,0.025))))</f>
        <v>1829.02146553957</v>
      </c>
      <c r="J66" s="38" t="n">
        <f aca="false">J56*IF(J56&lt;=25000,0.01,IF(J56&lt;=50000,0.011,IF(J56&lt;=83333.33,0.015,IF(J56&lt;=208333.33,0.02,0.025))))</f>
        <v>1196.17008110402</v>
      </c>
      <c r="K66" s="38" t="n">
        <f aca="false">K56*IF(K56&lt;=25000,0.01,IF(K56&lt;=50000,0.011,IF(K56&lt;=83333.33,0.015,IF(K56&lt;=208333.33,0.02,0.025))))</f>
        <v>1905.53894131721</v>
      </c>
      <c r="L66" s="38" t="n">
        <f aca="false">L56*IF(L56&lt;=25000,0.01,IF(L56&lt;=50000,0.011,IF(L56&lt;=83333.33,0.015,IF(L56&lt;=208333.33,0.02,0.025))))</f>
        <v>2255.77487111577</v>
      </c>
      <c r="M66" s="38" t="n">
        <f aca="false">M56*IF(M56&lt;=25000,0.01,IF(M56&lt;=50000,0.011,IF(M56&lt;=83333.33,0.015,IF(M56&lt;=208333.33,0.02,0.025))))</f>
        <v>2493.01391200098</v>
      </c>
      <c r="N66" s="10" t="n">
        <f aca="false">SUM(B66:M66)</f>
        <v>16245.3636167293</v>
      </c>
    </row>
    <row r="67" customFormat="false" ht="15" hidden="false" customHeight="false" outlineLevel="0" collapsed="false">
      <c r="A67" s="12" t="s">
        <v>18</v>
      </c>
      <c r="B67" s="13" t="n">
        <f aca="false">B65-B66</f>
        <v>2578.60313956749</v>
      </c>
      <c r="C67" s="13" t="n">
        <f aca="false">C65-C66</f>
        <v>10258.2694538518</v>
      </c>
      <c r="D67" s="13" t="n">
        <f aca="false">D65-D66</f>
        <v>-3408.07217394975</v>
      </c>
      <c r="E67" s="13" t="n">
        <f aca="false">E65-E66</f>
        <v>1681.58968656436</v>
      </c>
      <c r="F67" s="13" t="n">
        <f aca="false">F65-F66</f>
        <v>613.502461867189</v>
      </c>
      <c r="G67" s="13" t="n">
        <f aca="false">G65-G66</f>
        <v>2530.01160747888</v>
      </c>
      <c r="H67" s="13" t="n">
        <f aca="false">H65-H66</f>
        <v>8130.65139431652</v>
      </c>
      <c r="I67" s="13" t="n">
        <f aca="false">I65-I66</f>
        <v>6234.18665260869</v>
      </c>
      <c r="J67" s="13" t="n">
        <f aca="false">J65-J66</f>
        <v>3173.23140846053</v>
      </c>
      <c r="K67" s="13" t="n">
        <f aca="false">K65-K66</f>
        <v>5773.76087375404</v>
      </c>
      <c r="L67" s="13" t="n">
        <f aca="false">L65-L66</f>
        <v>9292.38356242399</v>
      </c>
      <c r="M67" s="13" t="n">
        <f aca="false">M65-M66</f>
        <v>11344.6436765992</v>
      </c>
      <c r="N67" s="13" t="n">
        <f aca="false">SUM(B67:M67)</f>
        <v>58202.761743543</v>
      </c>
    </row>
    <row r="68" customFormat="false" ht="15" hidden="false" customHeight="false" outlineLevel="0" collapsed="false">
      <c r="A68" s="5" t="s">
        <v>277</v>
      </c>
      <c r="B68" s="38" t="n">
        <f aca="false">MAX(0,B65)*Supuestos!$C$29</f>
        <v>927.484350844331</v>
      </c>
      <c r="C68" s="38" t="n">
        <f aca="false">MAX(0,C65)*Supuestos!$C$29</f>
        <v>3374.47722424053</v>
      </c>
      <c r="D68" s="38" t="n">
        <f aca="false">MAX(0,D65)*Supuestos!$C$29</f>
        <v>0</v>
      </c>
      <c r="E68" s="38" t="n">
        <f aca="false">MAX(0,E65)*Supuestos!$C$29</f>
        <v>760.336106403998</v>
      </c>
      <c r="F68" s="38" t="n">
        <f aca="false">MAX(0,F65)*Supuestos!$C$29</f>
        <v>444.713694872089</v>
      </c>
      <c r="G68" s="38" t="n">
        <f aca="false">MAX(0,G65)*Supuestos!$C$29</f>
        <v>1067.47571952735</v>
      </c>
      <c r="H68" s="38" t="n">
        <f aca="false">MAX(0,H65)*Supuestos!$C$29</f>
        <v>3012.5249485151</v>
      </c>
      <c r="I68" s="38" t="n">
        <f aca="false">MAX(0,I65)*Supuestos!$C$29</f>
        <v>2418.96243544448</v>
      </c>
      <c r="J68" s="38" t="n">
        <f aca="false">MAX(0,J65)*Supuestos!$C$29</f>
        <v>1310.82044686937</v>
      </c>
      <c r="K68" s="38" t="n">
        <f aca="false">MAX(0,K65)*Supuestos!$C$29</f>
        <v>2303.78994452137</v>
      </c>
      <c r="L68" s="38" t="n">
        <f aca="false">MAX(0,L65)*Supuestos!$C$29</f>
        <v>3464.44753006193</v>
      </c>
      <c r="M68" s="38" t="n">
        <f aca="false">MAX(0,M65)*Supuestos!$C$29</f>
        <v>4151.29727658005</v>
      </c>
      <c r="N68" s="10" t="n">
        <f aca="false">SUM(B68:M68)</f>
        <v>23236.3296778806</v>
      </c>
    </row>
    <row r="69" customFormat="false" ht="15" hidden="false" customHeight="false" outlineLevel="0" collapsed="false">
      <c r="A69" s="9" t="s">
        <v>97</v>
      </c>
      <c r="B69" s="10" t="n">
        <f aca="false">MAX(0,B65)*Supuestos!$C$30</f>
        <v>309.161450281444</v>
      </c>
      <c r="C69" s="10" t="n">
        <f aca="false">MAX(0,C65)*Supuestos!$C$30</f>
        <v>1124.82574141351</v>
      </c>
      <c r="D69" s="10" t="n">
        <f aca="false">MAX(0,D65)*Supuestos!$C$30</f>
        <v>0</v>
      </c>
      <c r="E69" s="10" t="n">
        <f aca="false">MAX(0,E65)*Supuestos!$C$30</f>
        <v>253.445368801333</v>
      </c>
      <c r="F69" s="10" t="n">
        <f aca="false">MAX(0,F65)*Supuestos!$C$30</f>
        <v>148.237898290696</v>
      </c>
      <c r="G69" s="10" t="n">
        <f aca="false">MAX(0,G65)*Supuestos!$C$30</f>
        <v>355.825239842449</v>
      </c>
      <c r="H69" s="10" t="n">
        <f aca="false">MAX(0,H65)*Supuestos!$C$30</f>
        <v>1004.17498283837</v>
      </c>
      <c r="I69" s="10" t="n">
        <f aca="false">MAX(0,I65)*Supuestos!$C$30</f>
        <v>806.320811814826</v>
      </c>
      <c r="J69" s="10" t="n">
        <f aca="false">MAX(0,J65)*Supuestos!$C$30</f>
        <v>436.940148956456</v>
      </c>
      <c r="K69" s="10" t="n">
        <f aca="false">MAX(0,K65)*Supuestos!$C$30</f>
        <v>767.929981507125</v>
      </c>
      <c r="L69" s="10" t="n">
        <f aca="false">MAX(0,L65)*Supuestos!$C$30</f>
        <v>1154.81584335398</v>
      </c>
      <c r="M69" s="10" t="n">
        <f aca="false">MAX(0,M65)*Supuestos!$C$30</f>
        <v>1383.76575886002</v>
      </c>
      <c r="N69" s="10" t="n">
        <f aca="false">SUM(B69:M69)</f>
        <v>7745.4432259602</v>
      </c>
    </row>
    <row r="70" customFormat="false" ht="15" hidden="false" customHeight="false" outlineLevel="0" collapsed="false">
      <c r="A70" s="12" t="s">
        <v>278</v>
      </c>
      <c r="B70" s="13" t="n">
        <f aca="false">B65-B68-B69</f>
        <v>1854.96870168866</v>
      </c>
      <c r="C70" s="13" t="n">
        <f aca="false">C65-C68-C69</f>
        <v>6748.95444848106</v>
      </c>
      <c r="D70" s="13" t="n">
        <f aca="false">D65-D68-D69</f>
        <v>-3006.30689932974</v>
      </c>
      <c r="E70" s="13" t="n">
        <f aca="false">E65-E68-E69</f>
        <v>1520.672212808</v>
      </c>
      <c r="F70" s="13" t="n">
        <f aca="false">F65-F68-F69</f>
        <v>889.427389744178</v>
      </c>
      <c r="G70" s="13" t="n">
        <f aca="false">G65-G68-G69</f>
        <v>2134.95143905469</v>
      </c>
      <c r="H70" s="13" t="n">
        <f aca="false">H65-H68-H69</f>
        <v>6025.0498970302</v>
      </c>
      <c r="I70" s="13" t="n">
        <f aca="false">I65-I68-I69</f>
        <v>4837.92487088895</v>
      </c>
      <c r="J70" s="13" t="n">
        <f aca="false">J65-J68-J69</f>
        <v>2621.64089373873</v>
      </c>
      <c r="K70" s="13" t="n">
        <f aca="false">K65-K68-K69</f>
        <v>4607.57988904275</v>
      </c>
      <c r="L70" s="13" t="n">
        <f aca="false">L65-L68-L69</f>
        <v>6928.89506012385</v>
      </c>
      <c r="M70" s="13" t="n">
        <f aca="false">M65-M68-M69</f>
        <v>8302.59455316009</v>
      </c>
      <c r="N70" s="13" t="n">
        <f aca="false">SUM(B70:M70)</f>
        <v>43466.3524564314</v>
      </c>
    </row>
    <row r="71" customFormat="false" ht="15" hidden="false" customHeight="false" outlineLevel="0" collapsed="false">
      <c r="A71" s="5" t="s">
        <v>279</v>
      </c>
      <c r="N71" s="9" t="str">
        <f aca="false">IF(N56&lt;=3500000,"Dentro del límite","Rebasa el límite")</f>
        <v>Dentro del límite</v>
      </c>
    </row>
    <row r="72" customFormat="false" ht="15" hidden="false" customHeight="false" outlineLevel="0" collapsed="false">
      <c r="A72" s="5" t="s">
        <v>280</v>
      </c>
      <c r="B72" s="38" t="n">
        <f aca="false">SUM($B65:B65)</f>
        <v>3091.61450281444</v>
      </c>
      <c r="C72" s="38" t="n">
        <f aca="false">SUM($B65:C65)</f>
        <v>14339.8719169495</v>
      </c>
      <c r="D72" s="38" t="n">
        <f aca="false">SUM($B65:D65)</f>
        <v>11333.5650176198</v>
      </c>
      <c r="E72" s="38" t="n">
        <f aca="false">SUM($B65:E65)</f>
        <v>13868.0187056331</v>
      </c>
      <c r="F72" s="38" t="n">
        <f aca="false">SUM($B65:F65)</f>
        <v>15350.3976885401</v>
      </c>
      <c r="G72" s="38" t="n">
        <f aca="false">SUM($B65:G65)</f>
        <v>18908.6500869646</v>
      </c>
      <c r="H72" s="38" t="n">
        <f aca="false">SUM($B65:H65)</f>
        <v>28950.3999153483</v>
      </c>
      <c r="I72" s="38" t="n">
        <f aca="false">SUM($B65:I65)</f>
        <v>37013.6080334965</v>
      </c>
      <c r="J72" s="38" t="n">
        <f aca="false">SUM($B65:J65)</f>
        <v>41383.0095230611</v>
      </c>
      <c r="K72" s="38" t="n">
        <f aca="false">SUM($B65:K65)</f>
        <v>49062.3093381323</v>
      </c>
      <c r="L72" s="38" t="n">
        <f aca="false">SUM($B65:L65)</f>
        <v>60610.4677716721</v>
      </c>
      <c r="M72" s="38" t="n">
        <f aca="false">SUM($B65:M65)</f>
        <v>74448.1253602722</v>
      </c>
    </row>
  </sheetData>
  <conditionalFormatting sqref="B17:N17">
    <cfRule type="cellIs" priority="2" operator="lessThan" aboveAverage="0" equalAverage="0" bottom="0" percent="0" rank="0" text="" dxfId="1">
      <formula>0</formula>
    </cfRule>
  </conditionalFormatting>
  <conditionalFormatting sqref="B19:N19">
    <cfRule type="cellIs" priority="3" operator="lessThan" aboveAverage="0" equalAverage="0" bottom="0" percent="0" rank="0" text="" dxfId="1">
      <formula>0</formula>
    </cfRule>
  </conditionalFormatting>
  <conditionalFormatting sqref="B41:N41">
    <cfRule type="cellIs" priority="4" operator="lessThan" aboveAverage="0" equalAverage="0" bottom="0" percent="0" rank="0" text="" dxfId="1">
      <formula>0</formula>
    </cfRule>
  </conditionalFormatting>
  <conditionalFormatting sqref="B43:N43">
    <cfRule type="cellIs" priority="5" operator="lessThan" aboveAverage="0" equalAverage="0" bottom="0" percent="0" rank="0" text="" dxfId="1">
      <formula>0</formula>
    </cfRule>
  </conditionalFormatting>
  <conditionalFormatting sqref="B65:N65">
    <cfRule type="cellIs" priority="6" operator="lessThan" aboveAverage="0" equalAverage="0" bottom="0" percent="0" rank="0" text="" dxfId="1">
      <formula>0</formula>
    </cfRule>
  </conditionalFormatting>
  <conditionalFormatting sqref="B67:N67">
    <cfRule type="cellIs" priority="7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54"/>
    <col collapsed="false" customWidth="true" hidden="false" outlineLevel="0" max="4" min="4" style="0" width="50"/>
    <col collapsed="false" customWidth="true" hidden="false" outlineLevel="0" max="5" min="5" style="0" width="20"/>
  </cols>
  <sheetData>
    <row r="1" customFormat="false" ht="19.7" hidden="false" customHeight="false" outlineLevel="0" collapsed="false">
      <c r="A1" s="1" t="s">
        <v>281</v>
      </c>
    </row>
    <row r="2" customFormat="false" ht="15" hidden="false" customHeight="false" outlineLevel="0" collapsed="false">
      <c r="A2" s="2" t="s">
        <v>282</v>
      </c>
    </row>
    <row r="4" customFormat="false" ht="31.5" hidden="false" customHeight="true" outlineLevel="0" collapsed="false">
      <c r="A4" s="3" t="s">
        <v>283</v>
      </c>
      <c r="B4" s="4" t="s">
        <v>284</v>
      </c>
      <c r="C4" s="4" t="s">
        <v>285</v>
      </c>
      <c r="D4" s="4" t="s">
        <v>286</v>
      </c>
      <c r="E4" s="4" t="s">
        <v>287</v>
      </c>
    </row>
    <row r="5" customFormat="false" ht="54" hidden="false" customHeight="true" outlineLevel="0" collapsed="false">
      <c r="A5" s="50" t="s">
        <v>288</v>
      </c>
      <c r="B5" s="50" t="s">
        <v>289</v>
      </c>
      <c r="C5" s="50" t="s">
        <v>290</v>
      </c>
      <c r="D5" s="50" t="s">
        <v>291</v>
      </c>
      <c r="E5" s="50" t="s">
        <v>292</v>
      </c>
    </row>
    <row r="6" customFormat="false" ht="54" hidden="false" customHeight="true" outlineLevel="0" collapsed="false">
      <c r="A6" s="50" t="s">
        <v>288</v>
      </c>
      <c r="B6" s="50" t="s">
        <v>293</v>
      </c>
      <c r="C6" s="50" t="s">
        <v>294</v>
      </c>
      <c r="D6" s="50" t="s">
        <v>295</v>
      </c>
      <c r="E6" s="50" t="s">
        <v>296</v>
      </c>
    </row>
    <row r="7" customFormat="false" ht="54" hidden="false" customHeight="true" outlineLevel="0" collapsed="false">
      <c r="A7" s="50" t="s">
        <v>288</v>
      </c>
      <c r="B7" s="50" t="s">
        <v>297</v>
      </c>
      <c r="C7" s="50" t="s">
        <v>298</v>
      </c>
      <c r="D7" s="50" t="s">
        <v>299</v>
      </c>
      <c r="E7" s="50" t="s">
        <v>296</v>
      </c>
    </row>
    <row r="8" customFormat="false" ht="54" hidden="false" customHeight="true" outlineLevel="0" collapsed="false">
      <c r="A8" s="50" t="s">
        <v>288</v>
      </c>
      <c r="B8" s="50" t="s">
        <v>300</v>
      </c>
      <c r="C8" s="50" t="s">
        <v>301</v>
      </c>
      <c r="D8" s="50" t="s">
        <v>302</v>
      </c>
      <c r="E8" s="50" t="s">
        <v>303</v>
      </c>
    </row>
    <row r="9" customFormat="false" ht="54" hidden="false" customHeight="true" outlineLevel="0" collapsed="false">
      <c r="A9" s="50" t="s">
        <v>304</v>
      </c>
      <c r="B9" s="50" t="s">
        <v>305</v>
      </c>
      <c r="C9" s="50" t="s">
        <v>306</v>
      </c>
      <c r="D9" s="50" t="s">
        <v>307</v>
      </c>
      <c r="E9" s="50" t="s">
        <v>308</v>
      </c>
    </row>
    <row r="10" customFormat="false" ht="54" hidden="false" customHeight="true" outlineLevel="0" collapsed="false">
      <c r="A10" s="50" t="s">
        <v>304</v>
      </c>
      <c r="B10" s="50" t="s">
        <v>309</v>
      </c>
      <c r="C10" s="50" t="s">
        <v>310</v>
      </c>
      <c r="D10" s="50" t="s">
        <v>311</v>
      </c>
      <c r="E10" s="50" t="s">
        <v>308</v>
      </c>
    </row>
    <row r="11" customFormat="false" ht="54" hidden="false" customHeight="true" outlineLevel="0" collapsed="false">
      <c r="A11" s="50" t="s">
        <v>304</v>
      </c>
      <c r="B11" s="50" t="s">
        <v>312</v>
      </c>
      <c r="C11" s="50" t="s">
        <v>313</v>
      </c>
      <c r="D11" s="50" t="s">
        <v>314</v>
      </c>
      <c r="E11" s="50" t="s">
        <v>308</v>
      </c>
    </row>
    <row r="12" customFormat="false" ht="54" hidden="false" customHeight="true" outlineLevel="0" collapsed="false">
      <c r="A12" s="50" t="s">
        <v>304</v>
      </c>
      <c r="B12" s="50" t="s">
        <v>315</v>
      </c>
      <c r="C12" s="50" t="s">
        <v>316</v>
      </c>
      <c r="D12" s="50" t="s">
        <v>317</v>
      </c>
      <c r="E12" s="50" t="s">
        <v>318</v>
      </c>
    </row>
    <row r="13" customFormat="false" ht="54" hidden="false" customHeight="true" outlineLevel="0" collapsed="false">
      <c r="A13" s="50" t="s">
        <v>319</v>
      </c>
      <c r="B13" s="50" t="s">
        <v>320</v>
      </c>
      <c r="C13" s="50" t="s">
        <v>321</v>
      </c>
      <c r="D13" s="50" t="s">
        <v>322</v>
      </c>
      <c r="E13" s="50" t="s">
        <v>303</v>
      </c>
    </row>
    <row r="14" customFormat="false" ht="54" hidden="false" customHeight="true" outlineLevel="0" collapsed="false">
      <c r="A14" s="50" t="s">
        <v>323</v>
      </c>
      <c r="B14" s="50" t="s">
        <v>324</v>
      </c>
      <c r="C14" s="50" t="s">
        <v>325</v>
      </c>
      <c r="D14" s="50" t="s">
        <v>326</v>
      </c>
      <c r="E14" s="50" t="s">
        <v>308</v>
      </c>
    </row>
    <row r="15" customFormat="false" ht="54" hidden="false" customHeight="true" outlineLevel="0" collapsed="false">
      <c r="A15" s="50" t="s">
        <v>327</v>
      </c>
      <c r="B15" s="50" t="s">
        <v>328</v>
      </c>
      <c r="C15" s="50" t="s">
        <v>329</v>
      </c>
      <c r="D15" s="50" t="s">
        <v>330</v>
      </c>
      <c r="E15" s="50" t="s">
        <v>308</v>
      </c>
    </row>
    <row r="16" customFormat="false" ht="54" hidden="false" customHeight="true" outlineLevel="0" collapsed="false">
      <c r="A16" s="50" t="s">
        <v>327</v>
      </c>
      <c r="B16" s="50" t="s">
        <v>331</v>
      </c>
      <c r="C16" s="50" t="s">
        <v>332</v>
      </c>
      <c r="D16" s="50" t="s">
        <v>333</v>
      </c>
      <c r="E16" s="50" t="s">
        <v>308</v>
      </c>
    </row>
    <row r="17" customFormat="false" ht="54" hidden="false" customHeight="true" outlineLevel="0" collapsed="false">
      <c r="A17" s="50" t="s">
        <v>327</v>
      </c>
      <c r="B17" s="50" t="s">
        <v>334</v>
      </c>
      <c r="C17" s="50" t="s">
        <v>335</v>
      </c>
      <c r="D17" s="50" t="s">
        <v>333</v>
      </c>
      <c r="E17" s="50" t="s">
        <v>308</v>
      </c>
    </row>
    <row r="18" customFormat="false" ht="54" hidden="false" customHeight="true" outlineLevel="0" collapsed="false">
      <c r="A18" s="50" t="s">
        <v>336</v>
      </c>
      <c r="B18" s="50" t="s">
        <v>337</v>
      </c>
      <c r="C18" s="50" t="s">
        <v>338</v>
      </c>
      <c r="D18" s="50" t="s">
        <v>339</v>
      </c>
      <c r="E18" s="50" t="s">
        <v>340</v>
      </c>
    </row>
    <row r="19" customFormat="false" ht="54" hidden="false" customHeight="true" outlineLevel="0" collapsed="false">
      <c r="A19" s="50" t="s">
        <v>341</v>
      </c>
      <c r="B19" s="50" t="s">
        <v>342</v>
      </c>
      <c r="C19" s="50" t="s">
        <v>343</v>
      </c>
      <c r="D19" s="50" t="s">
        <v>344</v>
      </c>
      <c r="E19" s="50" t="s">
        <v>308</v>
      </c>
    </row>
    <row r="20" customFormat="false" ht="54" hidden="false" customHeight="true" outlineLevel="0" collapsed="false">
      <c r="A20" s="50" t="s">
        <v>153</v>
      </c>
      <c r="B20" s="50" t="s">
        <v>345</v>
      </c>
      <c r="C20" s="50" t="s">
        <v>346</v>
      </c>
      <c r="D20" s="50" t="s">
        <v>333</v>
      </c>
      <c r="E20" s="50" t="s">
        <v>308</v>
      </c>
    </row>
    <row r="21" customFormat="false" ht="54" hidden="false" customHeight="true" outlineLevel="0" collapsed="false">
      <c r="A21" s="50" t="s">
        <v>347</v>
      </c>
      <c r="B21" s="50" t="s">
        <v>348</v>
      </c>
      <c r="C21" s="50" t="s">
        <v>349</v>
      </c>
      <c r="D21" s="50" t="s">
        <v>350</v>
      </c>
      <c r="E21" s="50" t="s">
        <v>318</v>
      </c>
    </row>
    <row r="22" customFormat="false" ht="54" hidden="false" customHeight="true" outlineLevel="0" collapsed="false">
      <c r="A22" s="50" t="s">
        <v>351</v>
      </c>
      <c r="B22" s="50" t="s">
        <v>348</v>
      </c>
      <c r="C22" s="50" t="s">
        <v>352</v>
      </c>
      <c r="D22" s="50" t="s">
        <v>353</v>
      </c>
      <c r="E22" s="50" t="s">
        <v>318</v>
      </c>
    </row>
    <row r="23" customFormat="false" ht="54" hidden="false" customHeight="true" outlineLevel="0" collapsed="false">
      <c r="A23" s="50" t="s">
        <v>354</v>
      </c>
      <c r="B23" s="50" t="s">
        <v>348</v>
      </c>
      <c r="C23" s="50" t="s">
        <v>355</v>
      </c>
      <c r="D23" s="50" t="s">
        <v>356</v>
      </c>
      <c r="E23" s="50" t="s">
        <v>318</v>
      </c>
    </row>
    <row r="26" customFormat="false" ht="15" hidden="false" customHeight="false" outlineLevel="0" collapsed="false">
      <c r="A26" s="17" t="s">
        <v>357</v>
      </c>
    </row>
    <row r="27" customFormat="false" ht="15" hidden="false" customHeight="false" outlineLevel="0" collapsed="false">
      <c r="A27" s="2" t="s">
        <v>358</v>
      </c>
    </row>
    <row r="28" customFormat="false" ht="31.5" hidden="false" customHeight="true" outlineLevel="0" collapsed="false">
      <c r="A28" s="3" t="s">
        <v>359</v>
      </c>
      <c r="B28" s="4" t="s">
        <v>360</v>
      </c>
      <c r="C28" s="4" t="s">
        <v>361</v>
      </c>
      <c r="D28" s="4" t="s">
        <v>362</v>
      </c>
      <c r="E28" s="4" t="s">
        <v>363</v>
      </c>
    </row>
    <row r="29" customFormat="false" ht="15" hidden="false" customHeight="false" outlineLevel="0" collapsed="false">
      <c r="A29" s="5" t="s">
        <v>364</v>
      </c>
      <c r="B29" s="27" t="n">
        <v>0.3</v>
      </c>
      <c r="C29" s="36" t="n">
        <f aca="false">ROUND(B29*Demanda!N39,0)</f>
        <v>4</v>
      </c>
      <c r="D29" s="5" t="s">
        <v>365</v>
      </c>
      <c r="E29" s="5" t="s">
        <v>366</v>
      </c>
    </row>
    <row r="30" customFormat="false" ht="15" hidden="false" customHeight="false" outlineLevel="0" collapsed="false">
      <c r="A30" s="5" t="s">
        <v>367</v>
      </c>
      <c r="B30" s="27" t="n">
        <v>0.25</v>
      </c>
      <c r="C30" s="36" t="n">
        <f aca="false">ROUND(B30*Demanda!N39,0)</f>
        <v>4</v>
      </c>
      <c r="D30" s="5" t="s">
        <v>368</v>
      </c>
      <c r="E30" s="5" t="s">
        <v>366</v>
      </c>
    </row>
    <row r="31" customFormat="false" ht="15" hidden="false" customHeight="false" outlineLevel="0" collapsed="false">
      <c r="A31" s="5" t="s">
        <v>369</v>
      </c>
      <c r="B31" s="27" t="n">
        <v>0.15</v>
      </c>
      <c r="C31" s="36" t="n">
        <f aca="false">ROUND(B31*Demanda!N39,0)</f>
        <v>2</v>
      </c>
      <c r="D31" s="5" t="s">
        <v>370</v>
      </c>
      <c r="E31" s="5" t="s">
        <v>366</v>
      </c>
    </row>
    <row r="32" customFormat="false" ht="15" hidden="false" customHeight="false" outlineLevel="0" collapsed="false">
      <c r="A32" s="5" t="s">
        <v>371</v>
      </c>
      <c r="B32" s="27" t="n">
        <v>0.1</v>
      </c>
      <c r="C32" s="36" t="n">
        <f aca="false">ROUND(B32*Demanda!N39,0)</f>
        <v>1</v>
      </c>
      <c r="D32" s="5" t="s">
        <v>372</v>
      </c>
      <c r="E32" s="5" t="s">
        <v>373</v>
      </c>
    </row>
    <row r="33" customFormat="false" ht="15" hidden="false" customHeight="false" outlineLevel="0" collapsed="false">
      <c r="A33" s="5" t="s">
        <v>374</v>
      </c>
      <c r="B33" s="27" t="n">
        <v>0.05</v>
      </c>
      <c r="C33" s="36" t="n">
        <f aca="false">ROUND(B33*Demanda!N39,0)</f>
        <v>1</v>
      </c>
      <c r="D33" s="5" t="s">
        <v>375</v>
      </c>
      <c r="E33" s="5" t="s">
        <v>373</v>
      </c>
    </row>
    <row r="34" customFormat="false" ht="15" hidden="false" customHeight="false" outlineLevel="0" collapsed="false">
      <c r="A34" s="5" t="s">
        <v>376</v>
      </c>
      <c r="B34" s="27" t="n">
        <v>0.05</v>
      </c>
      <c r="C34" s="36" t="n">
        <f aca="false">ROUND(B34*Demanda!N39,0)</f>
        <v>1</v>
      </c>
      <c r="D34" s="5" t="s">
        <v>377</v>
      </c>
      <c r="E34" s="5" t="s">
        <v>373</v>
      </c>
    </row>
    <row r="35" customFormat="false" ht="15" hidden="false" customHeight="false" outlineLevel="0" collapsed="false">
      <c r="A35" s="5" t="s">
        <v>378</v>
      </c>
      <c r="B35" s="27" t="n">
        <v>0.05</v>
      </c>
      <c r="C35" s="36" t="n">
        <f aca="false">ROUND(B35*Demanda!N39,0)</f>
        <v>1</v>
      </c>
      <c r="D35" s="5" t="s">
        <v>379</v>
      </c>
      <c r="E35" s="5" t="s">
        <v>373</v>
      </c>
    </row>
    <row r="36" customFormat="false" ht="15" hidden="false" customHeight="false" outlineLevel="0" collapsed="false">
      <c r="A36" s="5" t="s">
        <v>380</v>
      </c>
      <c r="B36" s="27" t="n">
        <v>0.05</v>
      </c>
      <c r="C36" s="36" t="n">
        <f aca="false">ROUND(B36*Demanda!N39,0)</f>
        <v>1</v>
      </c>
      <c r="D36" s="5" t="s">
        <v>127</v>
      </c>
      <c r="E36" s="5" t="s">
        <v>373</v>
      </c>
    </row>
    <row r="37" customFormat="false" ht="15" hidden="false" customHeight="false" outlineLevel="0" collapsed="false">
      <c r="A37" s="32" t="s">
        <v>381</v>
      </c>
      <c r="B37" s="54" t="n">
        <f aca="false">SUM(B29:B36)</f>
        <v>1</v>
      </c>
      <c r="C37" s="34" t="n">
        <f aca="false">SUM(C29:C36)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382</v>
      </c>
    </row>
    <row r="3" customFormat="false" ht="31.5" hidden="false" customHeight="true" outlineLevel="0" collapsed="false">
      <c r="A3" s="3" t="s">
        <v>383</v>
      </c>
      <c r="B3" s="4" t="s">
        <v>384</v>
      </c>
    </row>
    <row r="4" customFormat="false" ht="31.5" hidden="false" customHeight="true" outlineLevel="0" collapsed="false">
      <c r="A4" s="50" t="s">
        <v>385</v>
      </c>
      <c r="B4" s="50" t="s">
        <v>386</v>
      </c>
    </row>
    <row r="5" customFormat="false" ht="31.5" hidden="false" customHeight="true" outlineLevel="0" collapsed="false">
      <c r="A5" s="50" t="s">
        <v>387</v>
      </c>
      <c r="B5" s="50" t="s">
        <v>388</v>
      </c>
    </row>
    <row r="6" customFormat="false" ht="31.5" hidden="false" customHeight="true" outlineLevel="0" collapsed="false">
      <c r="A6" s="50" t="s">
        <v>389</v>
      </c>
      <c r="B6" s="50" t="s">
        <v>390</v>
      </c>
    </row>
    <row r="7" customFormat="false" ht="31.5" hidden="false" customHeight="true" outlineLevel="0" collapsed="false">
      <c r="A7" s="50" t="s">
        <v>391</v>
      </c>
      <c r="B7" s="50" t="s">
        <v>392</v>
      </c>
    </row>
    <row r="8" customFormat="false" ht="31.5" hidden="false" customHeight="true" outlineLevel="0" collapsed="false">
      <c r="A8" s="50" t="s">
        <v>393</v>
      </c>
      <c r="B8" s="50" t="s">
        <v>394</v>
      </c>
    </row>
    <row r="9" customFormat="false" ht="31.5" hidden="false" customHeight="true" outlineLevel="0" collapsed="false">
      <c r="A9" s="50" t="s">
        <v>395</v>
      </c>
      <c r="B9" s="50" t="s">
        <v>396</v>
      </c>
    </row>
    <row r="10" customFormat="false" ht="31.5" hidden="false" customHeight="true" outlineLevel="0" collapsed="false">
      <c r="A10" s="50" t="s">
        <v>345</v>
      </c>
      <c r="B10" s="50" t="s">
        <v>397</v>
      </c>
    </row>
    <row r="11" customFormat="false" ht="31.5" hidden="false" customHeight="true" outlineLevel="0" collapsed="false">
      <c r="A11" s="50" t="s">
        <v>398</v>
      </c>
      <c r="B11" s="50" t="s">
        <v>399</v>
      </c>
    </row>
    <row r="12" customFormat="false" ht="31.5" hidden="false" customHeight="true" outlineLevel="0" collapsed="false">
      <c r="A12" s="50" t="s">
        <v>400</v>
      </c>
      <c r="B12" s="50" t="s">
        <v>401</v>
      </c>
    </row>
    <row r="13" customFormat="false" ht="31.5" hidden="false" customHeight="true" outlineLevel="0" collapsed="false">
      <c r="A13" s="50" t="s">
        <v>402</v>
      </c>
      <c r="B13" s="50" t="s">
        <v>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2026-10-29T19:14:32Z</dcterms:created>
  <dc:creator>openpyxl</dc:creator>
  <dc:description/>
  <dc:language>en-US</dc:language>
  <cp:lastModifiedBy/>
  <dcterms:modified xsi:type="dcterms:W3CDTF">2026-10-29T19:14:32Z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